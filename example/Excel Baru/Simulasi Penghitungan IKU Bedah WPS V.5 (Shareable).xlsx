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li\Dit EP\Bedah WP\2025\"/>
    </mc:Choice>
  </mc:AlternateContent>
  <xr:revisionPtr revIDLastSave="0" documentId="8_{AF31402C-33E4-4D53-927A-438561D080E6}" xr6:coauthVersionLast="47" xr6:coauthVersionMax="47" xr10:uidLastSave="{00000000-0000-0000-0000-000000000000}"/>
  <bookViews>
    <workbookView xWindow="-120" yWindow="-120" windowWidth="19440" windowHeight="15000" xr2:uid="{EA94FB3B-9509-6541-9B3A-58148380DC3F}"/>
  </bookViews>
  <sheets>
    <sheet name="Contoh Data" sheetId="1" r:id="rId1"/>
    <sheet name="A. Komponen Kuantitas" sheetId="9" r:id="rId2"/>
    <sheet name="B. Komponen Kualitas" sheetId="10" r:id="rId3"/>
    <sheet name="C. Capaian IKU" sheetId="7" r:id="rId4"/>
    <sheet name="Ref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7" i="3"/>
  <c r="F6" i="3"/>
  <c r="F5" i="3"/>
  <c r="F4" i="3"/>
  <c r="AW24" i="10" l="1"/>
  <c r="AW23" i="10"/>
  <c r="AW22" i="10"/>
  <c r="AW21" i="10"/>
  <c r="AW20" i="10"/>
  <c r="AW19" i="10"/>
  <c r="AW18" i="10"/>
  <c r="AW17" i="10"/>
  <c r="AW16" i="10"/>
  <c r="AW15" i="10"/>
  <c r="AW14" i="10"/>
  <c r="AW13" i="10"/>
  <c r="AW12" i="10"/>
  <c r="AW11" i="10"/>
  <c r="AW10" i="10"/>
  <c r="AW9" i="10"/>
  <c r="AW8" i="10"/>
  <c r="AW7" i="10"/>
  <c r="AW6" i="10"/>
  <c r="AW5" i="10"/>
  <c r="AW3" i="10"/>
  <c r="AU24" i="10"/>
  <c r="AT24" i="10"/>
  <c r="AT23" i="10"/>
  <c r="AU22" i="10"/>
  <c r="AT22" i="10"/>
  <c r="AT21" i="10"/>
  <c r="AU20" i="10"/>
  <c r="AT20" i="10"/>
  <c r="AT19" i="10"/>
  <c r="AU18" i="10"/>
  <c r="AT18" i="10"/>
  <c r="AT17" i="10"/>
  <c r="AU16" i="10"/>
  <c r="AT16" i="10"/>
  <c r="AT15" i="10"/>
  <c r="AU14" i="10"/>
  <c r="AT14" i="10"/>
  <c r="AT13" i="10"/>
  <c r="AU12" i="10"/>
  <c r="AT12" i="10"/>
  <c r="AT11" i="10"/>
  <c r="AU10" i="10"/>
  <c r="AT10" i="10"/>
  <c r="AT9" i="10"/>
  <c r="AU8" i="10"/>
  <c r="AT8" i="10"/>
  <c r="AT7" i="10"/>
  <c r="AU6" i="10"/>
  <c r="AT6" i="10"/>
  <c r="AT5" i="10"/>
  <c r="AT3" i="10"/>
  <c r="AQ24" i="10"/>
  <c r="AQ23" i="10"/>
  <c r="AQ22" i="10"/>
  <c r="AR21" i="10"/>
  <c r="AQ21" i="10"/>
  <c r="AQ20" i="10"/>
  <c r="AR19" i="10"/>
  <c r="AQ19" i="10"/>
  <c r="AQ18" i="10"/>
  <c r="AQ17" i="10"/>
  <c r="AQ16" i="10"/>
  <c r="AR15" i="10"/>
  <c r="AQ15" i="10"/>
  <c r="AQ14" i="10"/>
  <c r="AR13" i="10"/>
  <c r="AQ13" i="10"/>
  <c r="AQ12" i="10"/>
  <c r="AR11" i="10"/>
  <c r="AQ11" i="10"/>
  <c r="AQ10" i="10"/>
  <c r="AQ9" i="10"/>
  <c r="AQ8" i="10"/>
  <c r="AR7" i="10"/>
  <c r="AQ7" i="10"/>
  <c r="AQ6" i="10"/>
  <c r="AR5" i="10"/>
  <c r="AQ5" i="10"/>
  <c r="AQ3" i="10"/>
  <c r="AN24" i="10"/>
  <c r="AN23" i="10"/>
  <c r="AN22" i="10"/>
  <c r="AN21" i="10"/>
  <c r="AN20" i="10"/>
  <c r="AN19" i="10"/>
  <c r="AN18" i="10"/>
  <c r="AN17" i="10"/>
  <c r="AN16" i="10"/>
  <c r="AN15" i="10"/>
  <c r="AN14" i="10"/>
  <c r="AN13" i="10"/>
  <c r="AN12" i="10"/>
  <c r="AN11" i="10"/>
  <c r="AN10" i="10"/>
  <c r="AN9" i="10"/>
  <c r="AN8" i="10"/>
  <c r="AN7" i="10"/>
  <c r="AN6" i="10"/>
  <c r="AN5" i="10"/>
  <c r="AN3" i="10"/>
  <c r="AK24" i="10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K3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H3" i="10"/>
  <c r="AE3" i="10"/>
  <c r="AB3" i="10"/>
  <c r="AF20" i="10"/>
  <c r="AF18" i="10"/>
  <c r="AF12" i="10"/>
  <c r="AF10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AB10" i="10"/>
  <c r="AB9" i="10"/>
  <c r="AB8" i="10"/>
  <c r="AB7" i="10"/>
  <c r="AB6" i="10"/>
  <c r="AB5" i="10"/>
  <c r="AC18" i="10"/>
  <c r="AC10" i="10"/>
  <c r="X24" i="10"/>
  <c r="X23" i="10"/>
  <c r="X22" i="10"/>
  <c r="X21" i="10"/>
  <c r="X20" i="10"/>
  <c r="X19" i="10"/>
  <c r="X18" i="10"/>
  <c r="X17" i="10"/>
  <c r="X16" i="10"/>
  <c r="X15" i="10"/>
  <c r="X14" i="10"/>
  <c r="X13" i="10"/>
  <c r="X12" i="10"/>
  <c r="X11" i="10"/>
  <c r="X10" i="10"/>
  <c r="X9" i="10"/>
  <c r="X8" i="10"/>
  <c r="X7" i="10"/>
  <c r="X6" i="10"/>
  <c r="X5" i="10"/>
  <c r="W23" i="9"/>
  <c r="X23" i="9" s="1"/>
  <c r="W22" i="9"/>
  <c r="X22" i="9" s="1"/>
  <c r="W21" i="9"/>
  <c r="X21" i="9" s="1"/>
  <c r="W20" i="9"/>
  <c r="X20" i="9" s="1"/>
  <c r="W19" i="9"/>
  <c r="X19" i="9" s="1"/>
  <c r="W18" i="9"/>
  <c r="X18" i="9" s="1"/>
  <c r="W17" i="9"/>
  <c r="X17" i="9" s="1"/>
  <c r="W16" i="9"/>
  <c r="X16" i="9" s="1"/>
  <c r="W15" i="9"/>
  <c r="X15" i="9" s="1"/>
  <c r="W14" i="9"/>
  <c r="X14" i="9" s="1"/>
  <c r="W13" i="9"/>
  <c r="X13" i="9" s="1"/>
  <c r="W12" i="9"/>
  <c r="X12" i="9" s="1"/>
  <c r="W11" i="9"/>
  <c r="X11" i="9" s="1"/>
  <c r="W10" i="9"/>
  <c r="X10" i="9" s="1"/>
  <c r="W9" i="9"/>
  <c r="X9" i="9" s="1"/>
  <c r="W8" i="9"/>
  <c r="X8" i="9" s="1"/>
  <c r="W7" i="9"/>
  <c r="X7" i="9" s="1"/>
  <c r="W6" i="9"/>
  <c r="X6" i="9" s="1"/>
  <c r="W5" i="9"/>
  <c r="X5" i="9" s="1"/>
  <c r="W4" i="9"/>
  <c r="X4" i="9" s="1"/>
  <c r="AU23" i="10"/>
  <c r="AR17" i="10"/>
  <c r="AO23" i="10"/>
  <c r="AL24" i="10"/>
  <c r="AM24" i="10" s="1"/>
  <c r="AI23" i="10"/>
  <c r="AC24" i="10"/>
  <c r="F3" i="3"/>
  <c r="F12" i="3" s="1"/>
  <c r="D12" i="3"/>
  <c r="E12" i="3"/>
  <c r="AV10" i="10" l="1"/>
  <c r="AD10" i="10"/>
  <c r="AI20" i="10"/>
  <c r="AJ20" i="10" s="1"/>
  <c r="AI12" i="10"/>
  <c r="AJ12" i="10" s="1"/>
  <c r="AJ23" i="10"/>
  <c r="AU5" i="10"/>
  <c r="AV5" i="10" s="1"/>
  <c r="AU7" i="10"/>
  <c r="AU9" i="10"/>
  <c r="AV9" i="10" s="1"/>
  <c r="AU11" i="10"/>
  <c r="AV11" i="10" s="1"/>
  <c r="AU13" i="10"/>
  <c r="AU15" i="10"/>
  <c r="AV15" i="10" s="1"/>
  <c r="AU17" i="10"/>
  <c r="AV17" i="10" s="1"/>
  <c r="AU19" i="10"/>
  <c r="AV19" i="10" s="1"/>
  <c r="AU21" i="10"/>
  <c r="AR9" i="10"/>
  <c r="AS9" i="10" s="1"/>
  <c r="AI10" i="10"/>
  <c r="AJ10" i="10" s="1"/>
  <c r="AI18" i="10"/>
  <c r="AJ18" i="10" s="1"/>
  <c r="AI8" i="10"/>
  <c r="AJ8" i="10" s="1"/>
  <c r="AI16" i="10"/>
  <c r="AJ16" i="10" s="1"/>
  <c r="AI24" i="10"/>
  <c r="AJ24" i="10" s="1"/>
  <c r="AI6" i="10"/>
  <c r="AJ6" i="10" s="1"/>
  <c r="AI14" i="10"/>
  <c r="AJ14" i="10" s="1"/>
  <c r="AI22" i="10"/>
  <c r="AJ22" i="10" s="1"/>
  <c r="Z21" i="10"/>
  <c r="AA21" i="10" s="1"/>
  <c r="Z17" i="10"/>
  <c r="AA17" i="10" s="1"/>
  <c r="Z13" i="10"/>
  <c r="AA13" i="10" s="1"/>
  <c r="Z9" i="10"/>
  <c r="AA9" i="10" s="1"/>
  <c r="Z5" i="10"/>
  <c r="AA5" i="10" s="1"/>
  <c r="Z23" i="10"/>
  <c r="AA23" i="10" s="1"/>
  <c r="Z19" i="10"/>
  <c r="AA19" i="10" s="1"/>
  <c r="Z15" i="10"/>
  <c r="AA15" i="10" s="1"/>
  <c r="Z11" i="10"/>
  <c r="AA11" i="10" s="1"/>
  <c r="Z7" i="10"/>
  <c r="AA7" i="10" s="1"/>
  <c r="AX24" i="10"/>
  <c r="AY24" i="10" s="1"/>
  <c r="AX22" i="10"/>
  <c r="AY22" i="10" s="1"/>
  <c r="AX20" i="10"/>
  <c r="AY20" i="10" s="1"/>
  <c r="AX18" i="10"/>
  <c r="AY18" i="10" s="1"/>
  <c r="AX16" i="10"/>
  <c r="AY16" i="10" s="1"/>
  <c r="AX14" i="10"/>
  <c r="AY14" i="10" s="1"/>
  <c r="AX12" i="10"/>
  <c r="AY12" i="10" s="1"/>
  <c r="AX10" i="10"/>
  <c r="AY10" i="10" s="1"/>
  <c r="AX8" i="10"/>
  <c r="AY8" i="10" s="1"/>
  <c r="AX6" i="10"/>
  <c r="AY6" i="10" s="1"/>
  <c r="AX23" i="10"/>
  <c r="AY23" i="10" s="1"/>
  <c r="AX21" i="10"/>
  <c r="AY21" i="10" s="1"/>
  <c r="AX19" i="10"/>
  <c r="AX17" i="10"/>
  <c r="AY17" i="10" s="1"/>
  <c r="AX15" i="10"/>
  <c r="AY15" i="10" s="1"/>
  <c r="AX13" i="10"/>
  <c r="AY13" i="10" s="1"/>
  <c r="AX11" i="10"/>
  <c r="AX9" i="10"/>
  <c r="AY9" i="10" s="1"/>
  <c r="AX7" i="10"/>
  <c r="AY7" i="10" s="1"/>
  <c r="AX5" i="10"/>
  <c r="AY5" i="10" s="1"/>
  <c r="Z12" i="10"/>
  <c r="AA12" i="10" s="1"/>
  <c r="Z20" i="10"/>
  <c r="AA20" i="10" s="1"/>
  <c r="Z6" i="10"/>
  <c r="AA6" i="10" s="1"/>
  <c r="Z14" i="10"/>
  <c r="AA14" i="10" s="1"/>
  <c r="Z22" i="10"/>
  <c r="AA22" i="10" s="1"/>
  <c r="AL5" i="10"/>
  <c r="AM5" i="10" s="1"/>
  <c r="AL7" i="10"/>
  <c r="AM7" i="10" s="1"/>
  <c r="AL9" i="10"/>
  <c r="AL11" i="10"/>
  <c r="AM11" i="10" s="1"/>
  <c r="AL13" i="10"/>
  <c r="AM13" i="10" s="1"/>
  <c r="AL15" i="10"/>
  <c r="AM15" i="10" s="1"/>
  <c r="AL17" i="10"/>
  <c r="AM17" i="10" s="1"/>
  <c r="AL19" i="10"/>
  <c r="AM19" i="10" s="1"/>
  <c r="AL21" i="10"/>
  <c r="AM21" i="10" s="1"/>
  <c r="AL23" i="10"/>
  <c r="AM23" i="10" s="1"/>
  <c r="AF23" i="10"/>
  <c r="AG23" i="10" s="1"/>
  <c r="AF19" i="10"/>
  <c r="AG19" i="10" s="1"/>
  <c r="AF15" i="10"/>
  <c r="AF11" i="10"/>
  <c r="AG11" i="10" s="1"/>
  <c r="AF7" i="10"/>
  <c r="AG7" i="10" s="1"/>
  <c r="AF21" i="10"/>
  <c r="AG21" i="10" s="1"/>
  <c r="AF17" i="10"/>
  <c r="AG17" i="10" s="1"/>
  <c r="AF13" i="10"/>
  <c r="AG13" i="10" s="1"/>
  <c r="AF9" i="10"/>
  <c r="AG9" i="10" s="1"/>
  <c r="AF5" i="10"/>
  <c r="AR23" i="10"/>
  <c r="AS23" i="10" s="1"/>
  <c r="AR24" i="10"/>
  <c r="AS24" i="10" s="1"/>
  <c r="Z8" i="10"/>
  <c r="AA8" i="10" s="1"/>
  <c r="Z16" i="10"/>
  <c r="AA16" i="10" s="1"/>
  <c r="Z24" i="10"/>
  <c r="AA24" i="10" s="1"/>
  <c r="AF6" i="10"/>
  <c r="AG6" i="10" s="1"/>
  <c r="AF14" i="10"/>
  <c r="AG14" i="10" s="1"/>
  <c r="AF22" i="10"/>
  <c r="AR6" i="10"/>
  <c r="AS6" i="10" s="1"/>
  <c r="AR8" i="10"/>
  <c r="AS8" i="10" s="1"/>
  <c r="AR10" i="10"/>
  <c r="AS10" i="10" s="1"/>
  <c r="AR12" i="10"/>
  <c r="AS12" i="10" s="1"/>
  <c r="AR14" i="10"/>
  <c r="AS14" i="10" s="1"/>
  <c r="AR16" i="10"/>
  <c r="AS16" i="10" s="1"/>
  <c r="AR18" i="10"/>
  <c r="AS18" i="10" s="1"/>
  <c r="AR20" i="10"/>
  <c r="AS20" i="10" s="1"/>
  <c r="AR22" i="10"/>
  <c r="AS22" i="10" s="1"/>
  <c r="Z10" i="10"/>
  <c r="AA10" i="10" s="1"/>
  <c r="Z18" i="10"/>
  <c r="AA18" i="10" s="1"/>
  <c r="AF8" i="10"/>
  <c r="AG8" i="10" s="1"/>
  <c r="AF16" i="10"/>
  <c r="AG16" i="10" s="1"/>
  <c r="AF24" i="10"/>
  <c r="AG24" i="10" s="1"/>
  <c r="AL6" i="10"/>
  <c r="AM6" i="10" s="1"/>
  <c r="AL8" i="10"/>
  <c r="AM8" i="10" s="1"/>
  <c r="AL10" i="10"/>
  <c r="AM10" i="10" s="1"/>
  <c r="AL12" i="10"/>
  <c r="AM12" i="10" s="1"/>
  <c r="AL14" i="10"/>
  <c r="AM14" i="10" s="1"/>
  <c r="AL16" i="10"/>
  <c r="AM16" i="10" s="1"/>
  <c r="AL18" i="10"/>
  <c r="AM18" i="10" s="1"/>
  <c r="AL20" i="10"/>
  <c r="AM20" i="10" s="1"/>
  <c r="AL22" i="10"/>
  <c r="AP23" i="10"/>
  <c r="AC9" i="10"/>
  <c r="AD9" i="10" s="1"/>
  <c r="AI5" i="10"/>
  <c r="AJ5" i="10" s="1"/>
  <c r="AI7" i="10"/>
  <c r="AJ7" i="10" s="1"/>
  <c r="AI9" i="10"/>
  <c r="AJ9" i="10" s="1"/>
  <c r="AI11" i="10"/>
  <c r="AJ11" i="10" s="1"/>
  <c r="AI13" i="10"/>
  <c r="AJ13" i="10" s="1"/>
  <c r="AI15" i="10"/>
  <c r="AJ15" i="10" s="1"/>
  <c r="AI17" i="10"/>
  <c r="AJ17" i="10" s="1"/>
  <c r="AI19" i="10"/>
  <c r="AJ19" i="10" s="1"/>
  <c r="AI21" i="10"/>
  <c r="AJ21" i="10" s="1"/>
  <c r="AO6" i="10"/>
  <c r="AO8" i="10"/>
  <c r="AP8" i="10" s="1"/>
  <c r="AO10" i="10"/>
  <c r="AP10" i="10" s="1"/>
  <c r="AO12" i="10"/>
  <c r="AP12" i="10" s="1"/>
  <c r="AO14" i="10"/>
  <c r="AP14" i="10" s="1"/>
  <c r="AO16" i="10"/>
  <c r="AP16" i="10" s="1"/>
  <c r="AO18" i="10"/>
  <c r="AP18" i="10" s="1"/>
  <c r="AO20" i="10"/>
  <c r="AP20" i="10" s="1"/>
  <c r="AO22" i="10"/>
  <c r="AP22" i="10" s="1"/>
  <c r="AO24" i="10"/>
  <c r="AP24" i="10" s="1"/>
  <c r="AS5" i="10"/>
  <c r="AS7" i="10"/>
  <c r="AS11" i="10"/>
  <c r="AS13" i="10"/>
  <c r="AS15" i="10"/>
  <c r="AS17" i="10"/>
  <c r="AS19" i="10"/>
  <c r="AS21" i="10"/>
  <c r="AV13" i="10"/>
  <c r="AV21" i="10"/>
  <c r="AC17" i="10"/>
  <c r="AD17" i="10" s="1"/>
  <c r="AG15" i="10"/>
  <c r="AM22" i="10"/>
  <c r="AO5" i="10"/>
  <c r="AP5" i="10" s="1"/>
  <c r="AO7" i="10"/>
  <c r="AP7" i="10" s="1"/>
  <c r="AO9" i="10"/>
  <c r="AP9" i="10" s="1"/>
  <c r="AO11" i="10"/>
  <c r="AP11" i="10" s="1"/>
  <c r="AO13" i="10"/>
  <c r="AP13" i="10" s="1"/>
  <c r="AO15" i="10"/>
  <c r="AP15" i="10" s="1"/>
  <c r="AO17" i="10"/>
  <c r="AP17" i="10" s="1"/>
  <c r="AO19" i="10"/>
  <c r="AP19" i="10" s="1"/>
  <c r="AO21" i="10"/>
  <c r="AP21" i="10" s="1"/>
  <c r="AV6" i="10"/>
  <c r="AV8" i="10"/>
  <c r="AV14" i="10"/>
  <c r="AV16" i="10"/>
  <c r="E5" i="7"/>
  <c r="F5" i="7" s="1"/>
  <c r="G5" i="7" s="1"/>
  <c r="AD24" i="10"/>
  <c r="AV12" i="10"/>
  <c r="AV20" i="10"/>
  <c r="AV24" i="10"/>
  <c r="AV18" i="10"/>
  <c r="AY11" i="10"/>
  <c r="AG20" i="10"/>
  <c r="AV7" i="10"/>
  <c r="AV23" i="10"/>
  <c r="AM9" i="10"/>
  <c r="AP6" i="10"/>
  <c r="AY19" i="10"/>
  <c r="AV22" i="10"/>
  <c r="AG10" i="10"/>
  <c r="AG18" i="10"/>
  <c r="AG5" i="10"/>
  <c r="AG22" i="10"/>
  <c r="AG12" i="10"/>
  <c r="AD18" i="10"/>
  <c r="AC11" i="10"/>
  <c r="AD11" i="10" s="1"/>
  <c r="AC19" i="10"/>
  <c r="AD19" i="10" s="1"/>
  <c r="AC21" i="10"/>
  <c r="AD21" i="10" s="1"/>
  <c r="AC6" i="10"/>
  <c r="AD6" i="10" s="1"/>
  <c r="AC14" i="10"/>
  <c r="AD14" i="10" s="1"/>
  <c r="AC22" i="10"/>
  <c r="AD22" i="10" s="1"/>
  <c r="AC7" i="10"/>
  <c r="AD7" i="10" s="1"/>
  <c r="AC15" i="10"/>
  <c r="AD15" i="10" s="1"/>
  <c r="AC23" i="10"/>
  <c r="AD23" i="10" s="1"/>
  <c r="AC12" i="10"/>
  <c r="AD12" i="10" s="1"/>
  <c r="AC20" i="10"/>
  <c r="AD20" i="10" s="1"/>
  <c r="AC5" i="10"/>
  <c r="AD5" i="10" s="1"/>
  <c r="AC13" i="10"/>
  <c r="AD13" i="10" s="1"/>
  <c r="AC8" i="10"/>
  <c r="AD8" i="10" s="1"/>
  <c r="AC16" i="10"/>
  <c r="AD16" i="10" s="1"/>
  <c r="AZ18" i="10" l="1"/>
  <c r="AZ10" i="10"/>
  <c r="AZ24" i="10"/>
  <c r="AZ16" i="10"/>
  <c r="AZ8" i="10"/>
  <c r="AZ22" i="10"/>
  <c r="AZ14" i="10"/>
  <c r="AZ6" i="10"/>
  <c r="AZ20" i="10"/>
  <c r="AZ12" i="10"/>
  <c r="AZ7" i="10"/>
  <c r="AZ11" i="10"/>
  <c r="AZ15" i="10"/>
  <c r="AZ19" i="10"/>
  <c r="AZ23" i="10"/>
  <c r="AZ5" i="10"/>
  <c r="AZ9" i="10"/>
  <c r="AZ13" i="10"/>
  <c r="AZ17" i="10"/>
  <c r="AZ21" i="10"/>
  <c r="BA7" i="10"/>
  <c r="BA23" i="10"/>
  <c r="BA17" i="10"/>
  <c r="BA14" i="10"/>
  <c r="BA20" i="10"/>
  <c r="BA15" i="10"/>
  <c r="BA18" i="10"/>
  <c r="BA12" i="10"/>
  <c r="BA21" i="10"/>
  <c r="BA22" i="10"/>
  <c r="BA9" i="10"/>
  <c r="BA19" i="10"/>
  <c r="BA11" i="10"/>
  <c r="BA6" i="10"/>
  <c r="BA10" i="10"/>
  <c r="BA16" i="10"/>
  <c r="BA8" i="10"/>
  <c r="BA13" i="10"/>
  <c r="BA5" i="10"/>
  <c r="BA24" i="10"/>
  <c r="H5" i="7" l="1"/>
  <c r="I5" i="7" s="1"/>
  <c r="J5" i="7" s="1"/>
  <c r="K5" i="7" s="1"/>
</calcChain>
</file>

<file path=xl/sharedStrings.xml><?xml version="1.0" encoding="utf-8"?>
<sst xmlns="http://schemas.openxmlformats.org/spreadsheetml/2006/main" count="324" uniqueCount="96">
  <si>
    <t>Contoh Perhitungan IKU Bedah WP per AR</t>
  </si>
  <si>
    <t>Mr IKU merupakan AR di KPP Madya ABC dengan jumlah WP Strategis yang diampu sebanyak 50 WP. Kanwil menetapkan target pelaksanaan kegiatan bedah WP Strategis tahun 2025 sebanyak 3 kegiatan. Selama tahun 2025, Mr IKU telah melaksanakan Kegiatan Bedah Wajib Pajak dengan data Sebagai Berikut:</t>
  </si>
  <si>
    <t>No</t>
  </si>
  <si>
    <t>TANGGAL</t>
  </si>
  <si>
    <t>NPWP</t>
  </si>
  <si>
    <t>NAMA WP</t>
  </si>
  <si>
    <t>TAHUN PAJAK</t>
  </si>
  <si>
    <t>STATUS SPT</t>
  </si>
  <si>
    <t>POTENSI TAMBAHAN</t>
  </si>
  <si>
    <t>PESERTA</t>
  </si>
  <si>
    <t>SUBKOMPONEN ANALISIS</t>
  </si>
  <si>
    <t>AR PENGAMPU</t>
  </si>
  <si>
    <t>KASI WAS PENGAMPU</t>
  </si>
  <si>
    <t>SPV FPP</t>
  </si>
  <si>
    <t>2 PESERTA LAINNYA</t>
  </si>
  <si>
    <t>ALK</t>
  </si>
  <si>
    <t>TP</t>
  </si>
  <si>
    <t>MIRRORING</t>
  </si>
  <si>
    <t>WP GRUP</t>
  </si>
  <si>
    <t>PENILAIAN</t>
  </si>
  <si>
    <t>DATA EKSTERNAL</t>
  </si>
  <si>
    <t>DATA VISIT</t>
  </si>
  <si>
    <t>ALKET</t>
  </si>
  <si>
    <t>000000010123000</t>
  </si>
  <si>
    <t>ABC</t>
  </si>
  <si>
    <t>NON RTLB</t>
  </si>
  <si>
    <t>000000020123000</t>
  </si>
  <si>
    <t>DEF</t>
  </si>
  <si>
    <t>000000030123000</t>
  </si>
  <si>
    <t>GHI</t>
  </si>
  <si>
    <t>RTLB</t>
  </si>
  <si>
    <t>000000040123000</t>
  </si>
  <si>
    <t>JKL</t>
  </si>
  <si>
    <t>000000050123000</t>
  </si>
  <si>
    <t>MNO</t>
  </si>
  <si>
    <t>000000060123000</t>
  </si>
  <si>
    <t>PQR</t>
  </si>
  <si>
    <t>000000070123000</t>
  </si>
  <si>
    <t>VWX</t>
  </si>
  <si>
    <t>000000080123000</t>
  </si>
  <si>
    <t>YZA</t>
  </si>
  <si>
    <t>000000090123000</t>
  </si>
  <si>
    <t>AAA</t>
  </si>
  <si>
    <t>000000100123000</t>
  </si>
  <si>
    <t>BBB</t>
  </si>
  <si>
    <t>000000110123000</t>
  </si>
  <si>
    <t>CCC</t>
  </si>
  <si>
    <t>000000120123000</t>
  </si>
  <si>
    <t>DDD</t>
  </si>
  <si>
    <t>000000130123000</t>
  </si>
  <si>
    <t>EEE</t>
  </si>
  <si>
    <t>000000140123000</t>
  </si>
  <si>
    <t>FFF</t>
  </si>
  <si>
    <t>000000150123000</t>
  </si>
  <si>
    <t>GGG</t>
  </si>
  <si>
    <t>000000160123000</t>
  </si>
  <si>
    <t>HHH</t>
  </si>
  <si>
    <t>000000170123000</t>
  </si>
  <si>
    <t>STU</t>
  </si>
  <si>
    <t>Keterangan:</t>
  </si>
  <si>
    <t>1 = Ada</t>
  </si>
  <si>
    <t>0 = Tidak ada</t>
  </si>
  <si>
    <t>Bobot Kegiatan</t>
  </si>
  <si>
    <t>Validasi Potensi Tambahan</t>
  </si>
  <si>
    <t>Validasi Status Lengkap</t>
  </si>
  <si>
    <t>Realisasi Kuantitas</t>
  </si>
  <si>
    <t>000000180123000</t>
  </si>
  <si>
    <t>Validasi Subkomponen Kualitas</t>
  </si>
  <si>
    <t>Realisasi Kualitas</t>
  </si>
  <si>
    <t>Masuk DPP</t>
  </si>
  <si>
    <t>Total Skor</t>
  </si>
  <si>
    <t>Jumlah</t>
  </si>
  <si>
    <t>Skor</t>
  </si>
  <si>
    <t>Nama AR</t>
  </si>
  <si>
    <t>Komponen Kuantitas</t>
  </si>
  <si>
    <t>Komponen Kualitas</t>
  </si>
  <si>
    <t>Capaian IKU</t>
  </si>
  <si>
    <t>Target</t>
  </si>
  <si>
    <t>Realisasi</t>
  </si>
  <si>
    <t>Capaian 
(Maksimal 120%)</t>
  </si>
  <si>
    <t>Bobot 
(50%)</t>
  </si>
  <si>
    <t>5=4:3</t>
  </si>
  <si>
    <t>8=7:3</t>
  </si>
  <si>
    <t>12=8+11</t>
  </si>
  <si>
    <t>Mr IKU</t>
  </si>
  <si>
    <t>Subkomponen</t>
  </si>
  <si>
    <t>Bobot</t>
  </si>
  <si>
    <t>Analisis Laporan Keuangan</t>
  </si>
  <si>
    <t>Analisis Transfer Pricing</t>
  </si>
  <si>
    <t>Mirroring hasil Pemeriksaan, Keputusan Keberatan, Banding, dan/atau PK</t>
  </si>
  <si>
    <t>Analisis WP Grup</t>
  </si>
  <si>
    <t>Kolaborasi dengan Penilai</t>
  </si>
  <si>
    <t>Pemanfaatan Data Eksternal</t>
  </si>
  <si>
    <t>Analisis data &amp; informasi dari hasil kunjungan ke Wajib Pajak</t>
  </si>
  <si>
    <t>Terdapat produksi alket untuk KPP lain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</si>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</sst>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.0"/>
    <numFmt numFmtId="165" formatCode="_(* #,##0.0_);_(* \(#,##0.0\);_(* &quot;-&quot;?_);_(@_)"/>
    <numFmt numFmtId="166" formatCode="#,##0_);[Red]\(#,###\)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1" fontId="0" fillId="0" borderId="3" xfId="1" applyNumberFormat="1" applyFont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 vertical="top"/>
    </xf>
    <xf numFmtId="1" fontId="0" fillId="0" borderId="3" xfId="1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justify" vertical="top" wrapText="1"/>
    </xf>
    <xf numFmtId="165" fontId="5" fillId="0" borderId="0" xfId="0" applyNumberFormat="1" applyFont="1" applyAlignment="1">
      <alignment horizontal="justify" vertical="top"/>
    </xf>
    <xf numFmtId="165" fontId="5" fillId="0" borderId="0" xfId="0" applyNumberFormat="1" applyFont="1"/>
    <xf numFmtId="0" fontId="0" fillId="0" borderId="3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top" wrapText="1"/>
    </xf>
    <xf numFmtId="164" fontId="5" fillId="2" borderId="2" xfId="1" applyNumberFormat="1" applyFont="1" applyFill="1" applyBorder="1" applyAlignment="1">
      <alignment horizontal="center" vertical="top"/>
    </xf>
    <xf numFmtId="9" fontId="5" fillId="2" borderId="2" xfId="2" applyFont="1" applyFill="1" applyBorder="1" applyAlignment="1">
      <alignment horizontal="center" vertical="top" wrapText="1"/>
    </xf>
    <xf numFmtId="0" fontId="5" fillId="2" borderId="2" xfId="0" applyFont="1" applyFill="1" applyBorder="1"/>
    <xf numFmtId="9" fontId="5" fillId="2" borderId="2" xfId="2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top" wrapText="1"/>
    </xf>
    <xf numFmtId="9" fontId="5" fillId="2" borderId="2" xfId="2" applyFont="1" applyFill="1" applyBorder="1" applyAlignment="1">
      <alignment horizontal="center" vertical="top"/>
    </xf>
    <xf numFmtId="9" fontId="6" fillId="3" borderId="2" xfId="2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0" fillId="0" borderId="3" xfId="1" quotePrefix="1" applyNumberFormat="1" applyFont="1" applyBorder="1" applyAlignment="1">
      <alignment horizontal="center" vertical="center"/>
    </xf>
    <xf numFmtId="1" fontId="0" fillId="0" borderId="3" xfId="1" applyNumberFormat="1" applyFont="1" applyBorder="1" applyAlignment="1">
      <alignment vertical="center"/>
    </xf>
    <xf numFmtId="1" fontId="0" fillId="0" borderId="3" xfId="1" applyNumberFormat="1" applyFont="1" applyBorder="1" applyAlignment="1">
      <alignment vertical="top"/>
    </xf>
    <xf numFmtId="1" fontId="0" fillId="0" borderId="3" xfId="1" applyNumberFormat="1" applyFont="1" applyBorder="1" applyAlignment="1"/>
    <xf numFmtId="0" fontId="0" fillId="0" borderId="0" xfId="0" quotePrefix="1"/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66" fontId="0" fillId="0" borderId="3" xfId="1" applyNumberFormat="1" applyFont="1" applyBorder="1" applyAlignment="1">
      <alignment horizontal="right" vertical="center"/>
    </xf>
    <xf numFmtId="166" fontId="0" fillId="0" borderId="3" xfId="1" applyNumberFormat="1" applyFont="1" applyBorder="1" applyAlignment="1">
      <alignment horizontal="right" vertical="top"/>
    </xf>
    <xf numFmtId="166" fontId="4" fillId="0" borderId="3" xfId="1" applyNumberFormat="1" applyFont="1" applyBorder="1" applyAlignment="1">
      <alignment horizontal="right" vertical="top"/>
    </xf>
    <xf numFmtId="166" fontId="1" fillId="0" borderId="3" xfId="1" applyNumberFormat="1" applyFont="1" applyBorder="1" applyAlignment="1">
      <alignment horizontal="right" vertical="top"/>
    </xf>
    <xf numFmtId="0" fontId="2" fillId="0" borderId="0" xfId="0" applyFont="1"/>
    <xf numFmtId="9" fontId="0" fillId="0" borderId="3" xfId="2" applyFont="1" applyBorder="1" applyAlignment="1">
      <alignment horizontal="center" vertical="center"/>
    </xf>
    <xf numFmtId="1" fontId="0" fillId="0" borderId="3" xfId="2" applyNumberFormat="1" applyFont="1" applyBorder="1" applyAlignment="1">
      <alignment horizontal="center" vertical="center"/>
    </xf>
    <xf numFmtId="9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10" fontId="0" fillId="0" borderId="3" xfId="2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2" fillId="0" borderId="3" xfId="2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5" fillId="2" borderId="2" xfId="1" applyNumberFormat="1" applyFont="1" applyFill="1" applyBorder="1" applyAlignment="1">
      <alignment horizontal="center" vertical="top"/>
    </xf>
    <xf numFmtId="2" fontId="6" fillId="3" borderId="2" xfId="1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justify"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1B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2E5F-3CF9-E64E-942B-9E07618B6BE1}">
  <sheetPr>
    <tabColor rgb="FFFFFF00"/>
  </sheetPr>
  <dimension ref="B1:T30"/>
  <sheetViews>
    <sheetView showGridLines="0" tabSelected="1" zoomScale="153" zoomScaleNormal="153" workbookViewId="0">
      <selection activeCell="B1" sqref="B1"/>
    </sheetView>
  </sheetViews>
  <sheetFormatPr defaultColWidth="11" defaultRowHeight="15.75"/>
  <cols>
    <col min="1" max="1" width="5.5" customWidth="1"/>
    <col min="2" max="2" width="5.875" customWidth="1"/>
    <col min="3" max="3" width="12" customWidth="1"/>
    <col min="4" max="4" width="16" customWidth="1"/>
    <col min="5" max="5" width="7.375" customWidth="1"/>
    <col min="6" max="6" width="11.125" customWidth="1"/>
    <col min="7" max="7" width="11.125" bestFit="1" customWidth="1"/>
    <col min="8" max="8" width="11.5" bestFit="1" customWidth="1"/>
    <col min="9" max="9" width="11.125" customWidth="1"/>
    <col min="10" max="10" width="12.5" customWidth="1"/>
    <col min="11" max="11" width="6.125" customWidth="1"/>
  </cols>
  <sheetData>
    <row r="1" spans="2:20">
      <c r="B1" s="49" t="s">
        <v>0</v>
      </c>
      <c r="C1" s="49"/>
      <c r="D1" s="49"/>
      <c r="E1" s="5"/>
      <c r="F1" s="5"/>
      <c r="G1" s="5"/>
      <c r="H1" s="5"/>
    </row>
    <row r="2" spans="2:20" ht="3.95" customHeight="1">
      <c r="B2" s="5"/>
      <c r="C2" s="5"/>
      <c r="D2" s="5"/>
      <c r="E2" s="5"/>
      <c r="F2" s="5"/>
      <c r="G2" s="5"/>
      <c r="H2" s="5"/>
    </row>
    <row r="3" spans="2:20" ht="51" customHeight="1"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2:20" ht="9" customHeight="1">
      <c r="B4" s="8"/>
      <c r="C4" s="8"/>
      <c r="D4" s="8"/>
      <c r="E4" s="8"/>
      <c r="F4" s="8"/>
      <c r="G4" s="8"/>
      <c r="H4" s="8"/>
    </row>
    <row r="5" spans="2:20" s="37" customFormat="1" ht="33.950000000000003" customHeight="1">
      <c r="B5" s="65" t="s">
        <v>2</v>
      </c>
      <c r="C5" s="65" t="s">
        <v>3</v>
      </c>
      <c r="D5" s="65" t="s">
        <v>4</v>
      </c>
      <c r="E5" s="69" t="s">
        <v>5</v>
      </c>
      <c r="F5" s="69" t="s">
        <v>6</v>
      </c>
      <c r="G5" s="65" t="s">
        <v>7</v>
      </c>
      <c r="H5" s="69" t="s">
        <v>8</v>
      </c>
      <c r="I5" s="68" t="s">
        <v>9</v>
      </c>
      <c r="J5" s="68"/>
      <c r="K5" s="68"/>
      <c r="L5" s="68"/>
      <c r="M5" s="68" t="s">
        <v>10</v>
      </c>
      <c r="N5" s="68"/>
      <c r="O5" s="68"/>
      <c r="P5" s="68"/>
      <c r="Q5" s="68"/>
      <c r="R5" s="68"/>
      <c r="S5" s="68"/>
      <c r="T5" s="68"/>
    </row>
    <row r="6" spans="2:20" s="36" customFormat="1" ht="42.95" customHeight="1">
      <c r="B6" s="66"/>
      <c r="C6" s="66"/>
      <c r="D6" s="66"/>
      <c r="E6" s="70"/>
      <c r="F6" s="70"/>
      <c r="G6" s="66"/>
      <c r="H6" s="70"/>
      <c r="I6" s="35" t="s">
        <v>11</v>
      </c>
      <c r="J6" s="35" t="s">
        <v>12</v>
      </c>
      <c r="K6" s="35" t="s">
        <v>13</v>
      </c>
      <c r="L6" s="35" t="s">
        <v>14</v>
      </c>
      <c r="M6" s="35" t="s">
        <v>15</v>
      </c>
      <c r="N6" s="35" t="s">
        <v>16</v>
      </c>
      <c r="O6" s="35" t="s">
        <v>17</v>
      </c>
      <c r="P6" s="35" t="s">
        <v>18</v>
      </c>
      <c r="Q6" s="35" t="s">
        <v>19</v>
      </c>
      <c r="R6" s="35" t="s">
        <v>20</v>
      </c>
      <c r="S6" s="35" t="s">
        <v>21</v>
      </c>
      <c r="T6" s="35" t="s">
        <v>22</v>
      </c>
    </row>
    <row r="7" spans="2:20" s="1" customFormat="1">
      <c r="B7" s="24">
        <v>1</v>
      </c>
      <c r="C7" s="43">
        <v>45667</v>
      </c>
      <c r="D7" s="38" t="s">
        <v>23</v>
      </c>
      <c r="E7" s="39" t="s">
        <v>24</v>
      </c>
      <c r="F7" s="12">
        <v>2021</v>
      </c>
      <c r="G7" s="12" t="s">
        <v>25</v>
      </c>
      <c r="H7" s="45">
        <v>55000000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0</v>
      </c>
      <c r="O7" s="24">
        <v>1</v>
      </c>
      <c r="P7" s="24">
        <v>0</v>
      </c>
      <c r="Q7" s="24">
        <v>0</v>
      </c>
      <c r="R7" s="24">
        <v>0</v>
      </c>
      <c r="S7" s="24">
        <v>1</v>
      </c>
      <c r="T7" s="24">
        <v>1</v>
      </c>
    </row>
    <row r="8" spans="2:20">
      <c r="B8" s="10">
        <v>2</v>
      </c>
      <c r="C8" s="44">
        <v>45681</v>
      </c>
      <c r="D8" s="38" t="s">
        <v>26</v>
      </c>
      <c r="E8" s="40" t="s">
        <v>27</v>
      </c>
      <c r="F8" s="13">
        <v>2022</v>
      </c>
      <c r="G8" s="13" t="s">
        <v>25</v>
      </c>
      <c r="H8" s="46">
        <v>56100000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4">
        <v>0</v>
      </c>
      <c r="P8" s="24">
        <v>0</v>
      </c>
      <c r="Q8" s="24">
        <v>0</v>
      </c>
      <c r="R8" s="24">
        <v>0</v>
      </c>
      <c r="S8" s="24">
        <v>1</v>
      </c>
      <c r="T8" s="24">
        <v>1</v>
      </c>
    </row>
    <row r="9" spans="2:20">
      <c r="B9" s="24">
        <v>3</v>
      </c>
      <c r="C9" s="43">
        <v>45702</v>
      </c>
      <c r="D9" s="38" t="s">
        <v>28</v>
      </c>
      <c r="E9" s="40" t="s">
        <v>29</v>
      </c>
      <c r="F9" s="13">
        <v>2020</v>
      </c>
      <c r="G9" s="13" t="s">
        <v>30</v>
      </c>
      <c r="H9" s="48">
        <v>-56683000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0</v>
      </c>
      <c r="O9" s="24">
        <v>0</v>
      </c>
      <c r="P9" s="24">
        <v>0</v>
      </c>
      <c r="Q9" s="24">
        <v>0</v>
      </c>
      <c r="R9" s="24">
        <v>1</v>
      </c>
      <c r="S9" s="24">
        <v>1</v>
      </c>
      <c r="T9" s="24">
        <v>1</v>
      </c>
    </row>
    <row r="10" spans="2:20">
      <c r="B10" s="10">
        <v>4</v>
      </c>
      <c r="C10" s="44">
        <v>45709</v>
      </c>
      <c r="D10" s="38" t="s">
        <v>31</v>
      </c>
      <c r="E10" s="40" t="s">
        <v>32</v>
      </c>
      <c r="F10" s="13">
        <v>2021</v>
      </c>
      <c r="G10" s="13" t="s">
        <v>25</v>
      </c>
      <c r="H10" s="46">
        <v>57267320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0</v>
      </c>
      <c r="O10" s="24">
        <v>1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</row>
    <row r="11" spans="2:20">
      <c r="B11" s="24">
        <v>5</v>
      </c>
      <c r="C11" s="43">
        <v>45723</v>
      </c>
      <c r="D11" s="38" t="s">
        <v>33</v>
      </c>
      <c r="E11" s="40" t="s">
        <v>34</v>
      </c>
      <c r="F11" s="13">
        <v>2021</v>
      </c>
      <c r="G11" s="13" t="s">
        <v>25</v>
      </c>
      <c r="H11" s="46">
        <v>57863366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0</v>
      </c>
      <c r="O11" s="24">
        <v>0</v>
      </c>
      <c r="P11" s="24">
        <v>0</v>
      </c>
      <c r="Q11" s="24">
        <v>0</v>
      </c>
      <c r="R11" s="24">
        <v>1</v>
      </c>
      <c r="S11" s="24">
        <v>1</v>
      </c>
      <c r="T11" s="24">
        <v>1</v>
      </c>
    </row>
    <row r="12" spans="2:20">
      <c r="B12" s="10">
        <v>6</v>
      </c>
      <c r="C12" s="44">
        <v>45737</v>
      </c>
      <c r="D12" s="38" t="s">
        <v>35</v>
      </c>
      <c r="E12" s="40" t="s">
        <v>36</v>
      </c>
      <c r="F12" s="13">
        <v>2021</v>
      </c>
      <c r="G12" s="13" t="s">
        <v>25</v>
      </c>
      <c r="H12" s="46">
        <v>58471801.960000001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1</v>
      </c>
    </row>
    <row r="13" spans="2:20">
      <c r="B13" s="24">
        <v>7</v>
      </c>
      <c r="C13" s="43">
        <v>45758</v>
      </c>
      <c r="D13" s="38" t="s">
        <v>35</v>
      </c>
      <c r="E13" s="40" t="s">
        <v>36</v>
      </c>
      <c r="F13" s="13">
        <v>2022</v>
      </c>
      <c r="G13" s="13" t="s">
        <v>25</v>
      </c>
      <c r="H13" s="46">
        <v>59093026.137199998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1</v>
      </c>
    </row>
    <row r="14" spans="2:20" s="2" customFormat="1">
      <c r="B14" s="10">
        <v>8</v>
      </c>
      <c r="C14" s="44">
        <v>45758</v>
      </c>
      <c r="D14" s="38" t="s">
        <v>37</v>
      </c>
      <c r="E14" s="39" t="s">
        <v>38</v>
      </c>
      <c r="F14" s="12">
        <v>2022</v>
      </c>
      <c r="G14" s="13" t="s">
        <v>25</v>
      </c>
      <c r="H14" s="46">
        <v>59727442.090976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0</v>
      </c>
      <c r="O14" s="24">
        <v>0</v>
      </c>
      <c r="P14" s="24">
        <v>0</v>
      </c>
      <c r="Q14" s="24">
        <v>0</v>
      </c>
      <c r="R14" s="24">
        <v>1</v>
      </c>
      <c r="S14" s="24">
        <v>0</v>
      </c>
      <c r="T14" s="24">
        <v>1</v>
      </c>
    </row>
    <row r="15" spans="2:20">
      <c r="B15" s="24">
        <v>9</v>
      </c>
      <c r="C15" s="43">
        <v>45772</v>
      </c>
      <c r="D15" s="38" t="s">
        <v>39</v>
      </c>
      <c r="E15" s="40" t="s">
        <v>40</v>
      </c>
      <c r="F15" s="13">
        <v>2021</v>
      </c>
      <c r="G15" s="13" t="s">
        <v>25</v>
      </c>
      <c r="H15" s="46">
        <v>60375469.788187839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0</v>
      </c>
      <c r="S15" s="24">
        <v>1</v>
      </c>
      <c r="T15" s="24">
        <v>0</v>
      </c>
    </row>
    <row r="16" spans="2:20">
      <c r="B16" s="10">
        <v>10</v>
      </c>
      <c r="C16" s="44">
        <v>45786</v>
      </c>
      <c r="D16" s="38" t="s">
        <v>41</v>
      </c>
      <c r="E16" s="40" t="s">
        <v>42</v>
      </c>
      <c r="F16" s="13">
        <v>2023</v>
      </c>
      <c r="G16" s="13" t="s">
        <v>25</v>
      </c>
      <c r="H16" s="46">
        <v>61037546.978818782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1</v>
      </c>
    </row>
    <row r="17" spans="2:20">
      <c r="B17" s="24">
        <v>11</v>
      </c>
      <c r="C17" s="43">
        <v>45793</v>
      </c>
      <c r="D17" s="38" t="s">
        <v>43</v>
      </c>
      <c r="E17" s="40" t="s">
        <v>44</v>
      </c>
      <c r="F17" s="13">
        <v>2021</v>
      </c>
      <c r="G17" s="13" t="s">
        <v>25</v>
      </c>
      <c r="H17" s="46">
        <v>61714130.167670064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1</v>
      </c>
    </row>
    <row r="18" spans="2:20">
      <c r="B18" s="10">
        <v>12</v>
      </c>
      <c r="C18" s="44">
        <v>45793</v>
      </c>
      <c r="D18" s="38" t="s">
        <v>45</v>
      </c>
      <c r="E18" s="41" t="s">
        <v>46</v>
      </c>
      <c r="F18" s="14">
        <v>2020</v>
      </c>
      <c r="G18" s="13" t="s">
        <v>30</v>
      </c>
      <c r="H18" s="47">
        <v>-62405695.620120399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1</v>
      </c>
      <c r="T18" s="24">
        <v>1</v>
      </c>
    </row>
    <row r="19" spans="2:20" s="3" customFormat="1">
      <c r="B19" s="24">
        <v>13</v>
      </c>
      <c r="C19" s="43">
        <v>45807</v>
      </c>
      <c r="D19" s="38" t="s">
        <v>47</v>
      </c>
      <c r="E19" s="40" t="s">
        <v>48</v>
      </c>
      <c r="F19" s="13">
        <v>2021</v>
      </c>
      <c r="G19" s="13" t="s">
        <v>25</v>
      </c>
      <c r="H19" s="46">
        <v>63112740.430615656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1</v>
      </c>
      <c r="R19" s="24">
        <v>0</v>
      </c>
      <c r="S19" s="24">
        <v>1</v>
      </c>
      <c r="T19" s="24">
        <v>0</v>
      </c>
    </row>
    <row r="20" spans="2:20">
      <c r="B20" s="10">
        <v>14</v>
      </c>
      <c r="C20" s="44">
        <v>45814</v>
      </c>
      <c r="D20" s="38" t="s">
        <v>49</v>
      </c>
      <c r="E20" s="39" t="s">
        <v>50</v>
      </c>
      <c r="F20" s="12">
        <v>2022</v>
      </c>
      <c r="G20" s="13" t="s">
        <v>25</v>
      </c>
      <c r="H20" s="46">
        <v>63835783.660286188</v>
      </c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1</v>
      </c>
    </row>
    <row r="21" spans="2:20">
      <c r="B21" s="24">
        <v>15</v>
      </c>
      <c r="C21" s="43">
        <v>45814</v>
      </c>
      <c r="D21" s="38" t="s">
        <v>51</v>
      </c>
      <c r="E21" s="39" t="s">
        <v>52</v>
      </c>
      <c r="F21" s="12">
        <v>2022</v>
      </c>
      <c r="G21" s="13" t="s">
        <v>25</v>
      </c>
      <c r="H21" s="46">
        <v>64575367.549042925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1</v>
      </c>
    </row>
    <row r="22" spans="2:20">
      <c r="B22" s="10">
        <v>16</v>
      </c>
      <c r="C22" s="44">
        <v>45828</v>
      </c>
      <c r="D22" s="38" t="s">
        <v>53</v>
      </c>
      <c r="E22" s="39" t="s">
        <v>54</v>
      </c>
      <c r="F22" s="12">
        <v>2022</v>
      </c>
      <c r="G22" s="13" t="s">
        <v>25</v>
      </c>
      <c r="H22" s="46">
        <v>65332058.807846867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0</v>
      </c>
      <c r="O22" s="24">
        <v>1</v>
      </c>
      <c r="P22" s="24">
        <v>0</v>
      </c>
      <c r="Q22" s="24">
        <v>0</v>
      </c>
      <c r="R22" s="24">
        <v>0</v>
      </c>
      <c r="S22" s="24">
        <v>0</v>
      </c>
      <c r="T22" s="24">
        <v>1</v>
      </c>
    </row>
    <row r="23" spans="2:20">
      <c r="B23" s="24">
        <v>17</v>
      </c>
      <c r="C23" s="43">
        <v>38523</v>
      </c>
      <c r="D23" s="38" t="s">
        <v>55</v>
      </c>
      <c r="E23" s="39" t="s">
        <v>56</v>
      </c>
      <c r="F23" s="12">
        <v>2021</v>
      </c>
      <c r="G23" s="13" t="s">
        <v>25</v>
      </c>
      <c r="H23" s="46">
        <v>66106449.997333966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0</v>
      </c>
      <c r="O23" s="24">
        <v>0</v>
      </c>
      <c r="P23" s="24">
        <v>0</v>
      </c>
      <c r="Q23" s="24">
        <v>0</v>
      </c>
      <c r="R23" s="24">
        <v>1</v>
      </c>
      <c r="S23" s="24">
        <v>1</v>
      </c>
      <c r="T23" s="24">
        <v>1</v>
      </c>
    </row>
    <row r="24" spans="2:20">
      <c r="B24" s="10">
        <v>18</v>
      </c>
      <c r="C24" s="44">
        <v>45842</v>
      </c>
      <c r="D24" s="38" t="s">
        <v>23</v>
      </c>
      <c r="E24" s="39" t="s">
        <v>24</v>
      </c>
      <c r="F24" s="12">
        <v>2022</v>
      </c>
      <c r="G24" s="13" t="s">
        <v>25</v>
      </c>
      <c r="H24" s="46">
        <v>66899160.999520116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</row>
    <row r="25" spans="2:20">
      <c r="B25" s="24">
        <v>19</v>
      </c>
      <c r="C25" s="43">
        <v>45856</v>
      </c>
      <c r="D25" s="38" t="s">
        <v>31</v>
      </c>
      <c r="E25" s="39" t="s">
        <v>32</v>
      </c>
      <c r="F25" s="12">
        <v>2022</v>
      </c>
      <c r="G25" s="13" t="s">
        <v>25</v>
      </c>
      <c r="H25" s="46">
        <v>67710840.589908823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</row>
    <row r="26" spans="2:20">
      <c r="B26" s="10">
        <v>20</v>
      </c>
      <c r="C26" s="44">
        <v>45905</v>
      </c>
      <c r="D26" s="38" t="s">
        <v>57</v>
      </c>
      <c r="E26" s="39" t="s">
        <v>58</v>
      </c>
      <c r="F26" s="12">
        <v>2021</v>
      </c>
      <c r="G26" s="13" t="s">
        <v>25</v>
      </c>
      <c r="H26" s="46">
        <v>68542168.117981762</v>
      </c>
      <c r="I26" s="24">
        <v>1</v>
      </c>
      <c r="J26" s="24">
        <v>1</v>
      </c>
      <c r="K26" s="24">
        <v>1</v>
      </c>
      <c r="L26" s="24">
        <v>1</v>
      </c>
      <c r="M26" s="24">
        <v>1</v>
      </c>
      <c r="N26" s="24">
        <v>0</v>
      </c>
      <c r="O26" s="24">
        <v>0</v>
      </c>
      <c r="P26" s="24">
        <v>0</v>
      </c>
      <c r="Q26" s="24">
        <v>0</v>
      </c>
      <c r="R26" s="24">
        <v>1</v>
      </c>
      <c r="S26" s="24">
        <v>0</v>
      </c>
      <c r="T26" s="24">
        <v>1</v>
      </c>
    </row>
    <row r="27" spans="2:20" s="2" customFormat="1">
      <c r="B27"/>
      <c r="C27"/>
      <c r="D27"/>
      <c r="E27"/>
      <c r="F27"/>
      <c r="G27"/>
      <c r="H27"/>
    </row>
    <row r="28" spans="2:20">
      <c r="B28" t="s">
        <v>59</v>
      </c>
    </row>
    <row r="29" spans="2:20">
      <c r="B29" s="42" t="s">
        <v>60</v>
      </c>
      <c r="C29" s="42"/>
    </row>
    <row r="30" spans="2:20">
      <c r="B30" s="42" t="s">
        <v>61</v>
      </c>
    </row>
  </sheetData>
  <mergeCells count="10">
    <mergeCell ref="M5:T5"/>
    <mergeCell ref="H5:H6"/>
    <mergeCell ref="G5:G6"/>
    <mergeCell ref="F5:F6"/>
    <mergeCell ref="E5:E6"/>
    <mergeCell ref="D5:D6"/>
    <mergeCell ref="B5:B6"/>
    <mergeCell ref="B3:L3"/>
    <mergeCell ref="C5:C6"/>
    <mergeCell ref="I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AD62-0520-1247-ABAE-79D22EEF366C}">
  <sheetPr>
    <tabColor rgb="FFFFFF00"/>
  </sheetPr>
  <dimension ref="B2:X27"/>
  <sheetViews>
    <sheetView showGridLines="0" zoomScale="153" zoomScaleNormal="153" workbookViewId="0">
      <pane xSplit="5" ySplit="3" topLeftCell="F4" activePane="bottomRight" state="frozen"/>
      <selection pane="bottomRight" activeCell="S6" sqref="S6"/>
      <selection pane="bottomLeft" activeCell="A3" sqref="A3"/>
      <selection pane="topRight" activeCell="F1" sqref="F1"/>
    </sheetView>
  </sheetViews>
  <sheetFormatPr defaultColWidth="11" defaultRowHeight="15.75"/>
  <cols>
    <col min="1" max="1" width="4" customWidth="1"/>
    <col min="2" max="2" width="5.875" customWidth="1"/>
    <col min="3" max="3" width="12" customWidth="1"/>
    <col min="4" max="4" width="16" customWidth="1"/>
    <col min="5" max="5" width="7.375" customWidth="1"/>
    <col min="6" max="6" width="11.125" customWidth="1"/>
    <col min="7" max="7" width="11.125" bestFit="1" customWidth="1"/>
    <col min="8" max="8" width="11.5" bestFit="1" customWidth="1"/>
    <col min="9" max="9" width="11.125" customWidth="1"/>
    <col min="10" max="10" width="12.5" customWidth="1"/>
    <col min="11" max="11" width="6.125" customWidth="1"/>
    <col min="15" max="15" width="11.375" customWidth="1"/>
    <col min="21" max="24" width="11.125" bestFit="1" customWidth="1"/>
  </cols>
  <sheetData>
    <row r="2" spans="2:24" s="37" customFormat="1" ht="33.950000000000003" customHeight="1">
      <c r="B2" s="65" t="s">
        <v>2</v>
      </c>
      <c r="C2" s="65" t="s">
        <v>3</v>
      </c>
      <c r="D2" s="65" t="s">
        <v>4</v>
      </c>
      <c r="E2" s="69" t="s">
        <v>5</v>
      </c>
      <c r="F2" s="69" t="s">
        <v>6</v>
      </c>
      <c r="G2" s="65" t="s">
        <v>7</v>
      </c>
      <c r="H2" s="69" t="s">
        <v>8</v>
      </c>
      <c r="I2" s="68" t="s">
        <v>9</v>
      </c>
      <c r="J2" s="68"/>
      <c r="K2" s="68"/>
      <c r="L2" s="68"/>
      <c r="M2" s="68" t="s">
        <v>10</v>
      </c>
      <c r="N2" s="68"/>
      <c r="O2" s="68"/>
      <c r="P2" s="68"/>
      <c r="Q2" s="68"/>
      <c r="R2" s="68"/>
      <c r="S2" s="68"/>
      <c r="T2" s="68"/>
      <c r="U2" s="71" t="s">
        <v>62</v>
      </c>
      <c r="V2" s="71" t="s">
        <v>63</v>
      </c>
      <c r="W2" s="71" t="s">
        <v>64</v>
      </c>
      <c r="X2" s="71" t="s">
        <v>65</v>
      </c>
    </row>
    <row r="3" spans="2:24" s="36" customFormat="1" ht="42.95" customHeight="1">
      <c r="B3" s="66"/>
      <c r="C3" s="66"/>
      <c r="D3" s="66"/>
      <c r="E3" s="70"/>
      <c r="F3" s="70"/>
      <c r="G3" s="66"/>
      <c r="H3" s="70"/>
      <c r="I3" s="35" t="s">
        <v>11</v>
      </c>
      <c r="J3" s="35" t="s">
        <v>12</v>
      </c>
      <c r="K3" s="35" t="s">
        <v>13</v>
      </c>
      <c r="L3" s="35" t="s">
        <v>14</v>
      </c>
      <c r="M3" s="35" t="s">
        <v>15</v>
      </c>
      <c r="N3" s="35" t="s">
        <v>16</v>
      </c>
      <c r="O3" s="35" t="s">
        <v>17</v>
      </c>
      <c r="P3" s="35" t="s">
        <v>18</v>
      </c>
      <c r="Q3" s="35" t="s">
        <v>19</v>
      </c>
      <c r="R3" s="35" t="s">
        <v>20</v>
      </c>
      <c r="S3" s="35" t="s">
        <v>21</v>
      </c>
      <c r="T3" s="35" t="s">
        <v>22</v>
      </c>
      <c r="U3" s="72"/>
      <c r="V3" s="72"/>
      <c r="W3" s="72"/>
      <c r="X3" s="72"/>
    </row>
    <row r="4" spans="2:24" s="1" customFormat="1">
      <c r="B4" s="24">
        <v>1</v>
      </c>
      <c r="C4" s="43">
        <v>45667</v>
      </c>
      <c r="D4" s="38" t="s">
        <v>23</v>
      </c>
      <c r="E4" s="39" t="s">
        <v>24</v>
      </c>
      <c r="F4" s="12">
        <v>2021</v>
      </c>
      <c r="G4" s="12" t="s">
        <v>25</v>
      </c>
      <c r="H4" s="45">
        <v>55000000</v>
      </c>
      <c r="I4" s="24">
        <v>1</v>
      </c>
      <c r="J4" s="24">
        <v>1</v>
      </c>
      <c r="K4" s="24">
        <v>1</v>
      </c>
      <c r="L4" s="24">
        <v>1</v>
      </c>
      <c r="M4" s="24">
        <v>1</v>
      </c>
      <c r="N4" s="24">
        <v>0</v>
      </c>
      <c r="O4" s="24">
        <v>1</v>
      </c>
      <c r="P4" s="24">
        <v>0</v>
      </c>
      <c r="Q4" s="24">
        <v>0</v>
      </c>
      <c r="R4" s="24">
        <v>0</v>
      </c>
      <c r="S4" s="24">
        <v>1</v>
      </c>
      <c r="T4" s="24">
        <v>1</v>
      </c>
      <c r="U4" s="50">
        <v>1</v>
      </c>
      <c r="V4" s="51">
        <v>1</v>
      </c>
      <c r="W4" s="51">
        <f>IF((I4+J4+K4+L4+V4)=5,1,0)</f>
        <v>1</v>
      </c>
      <c r="X4" s="51">
        <f>U4*W4</f>
        <v>1</v>
      </c>
    </row>
    <row r="5" spans="2:24">
      <c r="B5" s="10">
        <v>2</v>
      </c>
      <c r="C5" s="44">
        <v>45681</v>
      </c>
      <c r="D5" s="38" t="s">
        <v>26</v>
      </c>
      <c r="E5" s="40" t="s">
        <v>27</v>
      </c>
      <c r="F5" s="13">
        <v>2022</v>
      </c>
      <c r="G5" s="13" t="s">
        <v>25</v>
      </c>
      <c r="H5" s="46">
        <v>46100000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>
        <v>0</v>
      </c>
      <c r="P5" s="24">
        <v>0</v>
      </c>
      <c r="Q5" s="24">
        <v>0</v>
      </c>
      <c r="R5" s="24">
        <v>0</v>
      </c>
      <c r="S5" s="24">
        <v>1</v>
      </c>
      <c r="T5" s="24">
        <v>1</v>
      </c>
      <c r="U5" s="50">
        <v>1</v>
      </c>
      <c r="V5" s="51">
        <v>0</v>
      </c>
      <c r="W5" s="51">
        <f>IF((I5+J5+K5+L5+V5)=5,1,0)</f>
        <v>0</v>
      </c>
      <c r="X5" s="51">
        <f t="shared" ref="X5:X23" si="0">U5*W5</f>
        <v>0</v>
      </c>
    </row>
    <row r="6" spans="2:24">
      <c r="B6" s="24">
        <v>3</v>
      </c>
      <c r="C6" s="43">
        <v>45702</v>
      </c>
      <c r="D6" s="38" t="s">
        <v>28</v>
      </c>
      <c r="E6" s="40" t="s">
        <v>29</v>
      </c>
      <c r="F6" s="13">
        <v>2020</v>
      </c>
      <c r="G6" s="13" t="s">
        <v>30</v>
      </c>
      <c r="H6" s="48">
        <v>-56683000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0</v>
      </c>
      <c r="O6" s="24">
        <v>0</v>
      </c>
      <c r="P6" s="24">
        <v>0</v>
      </c>
      <c r="Q6" s="24">
        <v>0</v>
      </c>
      <c r="R6" s="24">
        <v>1</v>
      </c>
      <c r="S6" s="24">
        <v>1</v>
      </c>
      <c r="T6" s="24">
        <v>1</v>
      </c>
      <c r="U6" s="50">
        <v>1</v>
      </c>
      <c r="V6" s="51">
        <v>1</v>
      </c>
      <c r="W6" s="51">
        <f>IF((I6+J6+K6+L6+V6)=5,1,0)</f>
        <v>1</v>
      </c>
      <c r="X6" s="51">
        <f t="shared" si="0"/>
        <v>1</v>
      </c>
    </row>
    <row r="7" spans="2:24">
      <c r="B7" s="10">
        <v>4</v>
      </c>
      <c r="C7" s="44">
        <v>45709</v>
      </c>
      <c r="D7" s="38" t="s">
        <v>31</v>
      </c>
      <c r="E7" s="40" t="s">
        <v>32</v>
      </c>
      <c r="F7" s="13">
        <v>2021</v>
      </c>
      <c r="G7" s="13" t="s">
        <v>25</v>
      </c>
      <c r="H7" s="46">
        <v>57267320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0</v>
      </c>
      <c r="O7" s="24">
        <v>1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50">
        <v>1</v>
      </c>
      <c r="V7" s="51">
        <v>1</v>
      </c>
      <c r="W7" s="51">
        <f>IF((I7+J7+K7+L7+V7)=5,1,0)</f>
        <v>1</v>
      </c>
      <c r="X7" s="51">
        <f t="shared" si="0"/>
        <v>1</v>
      </c>
    </row>
    <row r="8" spans="2:24">
      <c r="B8" s="24">
        <v>5</v>
      </c>
      <c r="C8" s="43">
        <v>45723</v>
      </c>
      <c r="D8" s="38" t="s">
        <v>33</v>
      </c>
      <c r="E8" s="40" t="s">
        <v>34</v>
      </c>
      <c r="F8" s="13">
        <v>2021</v>
      </c>
      <c r="G8" s="13" t="s">
        <v>25</v>
      </c>
      <c r="H8" s="46">
        <v>57863366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0</v>
      </c>
      <c r="O8" s="24">
        <v>0</v>
      </c>
      <c r="P8" s="24">
        <v>0</v>
      </c>
      <c r="Q8" s="24">
        <v>0</v>
      </c>
      <c r="R8" s="24">
        <v>1</v>
      </c>
      <c r="S8" s="24">
        <v>1</v>
      </c>
      <c r="T8" s="24">
        <v>1</v>
      </c>
      <c r="U8" s="50">
        <v>1</v>
      </c>
      <c r="V8" s="51">
        <v>1</v>
      </c>
      <c r="W8" s="51">
        <f>IF((I8+J8+K8+L8+V8)=5,1,0)</f>
        <v>1</v>
      </c>
      <c r="X8" s="51">
        <f t="shared" si="0"/>
        <v>1</v>
      </c>
    </row>
    <row r="9" spans="2:24">
      <c r="B9" s="10">
        <v>6</v>
      </c>
      <c r="C9" s="44">
        <v>45737</v>
      </c>
      <c r="D9" s="38" t="s">
        <v>35</v>
      </c>
      <c r="E9" s="40" t="s">
        <v>36</v>
      </c>
      <c r="F9" s="13">
        <v>2022</v>
      </c>
      <c r="G9" s="13" t="s">
        <v>25</v>
      </c>
      <c r="H9" s="46">
        <v>58471801.960000001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1</v>
      </c>
      <c r="U9" s="50">
        <v>1</v>
      </c>
      <c r="V9" s="51">
        <v>1</v>
      </c>
      <c r="W9" s="51">
        <f>IF((I9+J9+K9+L9+V9)=5,1,0)</f>
        <v>1</v>
      </c>
      <c r="X9" s="51">
        <f t="shared" si="0"/>
        <v>1</v>
      </c>
    </row>
    <row r="10" spans="2:24">
      <c r="B10" s="24">
        <v>7</v>
      </c>
      <c r="C10" s="43">
        <v>45758</v>
      </c>
      <c r="D10" s="38" t="s">
        <v>35</v>
      </c>
      <c r="E10" s="40" t="s">
        <v>36</v>
      </c>
      <c r="F10" s="13">
        <v>2022</v>
      </c>
      <c r="G10" s="13" t="s">
        <v>25</v>
      </c>
      <c r="H10" s="46">
        <v>59093026.137199998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1</v>
      </c>
      <c r="U10" s="50">
        <v>0</v>
      </c>
      <c r="V10" s="51">
        <v>1</v>
      </c>
      <c r="W10" s="51">
        <f>IF((I10+J10+K10+L10+V10)=5,1,0)</f>
        <v>1</v>
      </c>
      <c r="X10" s="51">
        <f t="shared" si="0"/>
        <v>0</v>
      </c>
    </row>
    <row r="11" spans="2:24" s="2" customFormat="1">
      <c r="B11" s="10">
        <v>8</v>
      </c>
      <c r="C11" s="44">
        <v>45758</v>
      </c>
      <c r="D11" s="38" t="s">
        <v>37</v>
      </c>
      <c r="E11" s="39" t="s">
        <v>38</v>
      </c>
      <c r="F11" s="12">
        <v>2022</v>
      </c>
      <c r="G11" s="13" t="s">
        <v>25</v>
      </c>
      <c r="H11" s="46">
        <v>59727442.090976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0</v>
      </c>
      <c r="O11" s="24">
        <v>0</v>
      </c>
      <c r="P11" s="24">
        <v>0</v>
      </c>
      <c r="Q11" s="24">
        <v>0</v>
      </c>
      <c r="R11" s="24">
        <v>1</v>
      </c>
      <c r="S11" s="24">
        <v>0</v>
      </c>
      <c r="T11" s="24">
        <v>1</v>
      </c>
      <c r="U11" s="50">
        <v>1</v>
      </c>
      <c r="V11" s="51">
        <v>1</v>
      </c>
      <c r="W11" s="51">
        <f>IF((I11+J11+K11+L11+V11)=5,1,0)</f>
        <v>1</v>
      </c>
      <c r="X11" s="51">
        <f t="shared" si="0"/>
        <v>1</v>
      </c>
    </row>
    <row r="12" spans="2:24">
      <c r="B12" s="24">
        <v>9</v>
      </c>
      <c r="C12" s="43">
        <v>45772</v>
      </c>
      <c r="D12" s="38" t="s">
        <v>39</v>
      </c>
      <c r="E12" s="40" t="s">
        <v>40</v>
      </c>
      <c r="F12" s="13">
        <v>2021</v>
      </c>
      <c r="G12" s="13" t="s">
        <v>25</v>
      </c>
      <c r="H12" s="46">
        <v>60375469.788187839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4">
        <v>1</v>
      </c>
      <c r="Q12" s="24">
        <v>1</v>
      </c>
      <c r="R12" s="24">
        <v>0</v>
      </c>
      <c r="S12" s="24">
        <v>1</v>
      </c>
      <c r="T12" s="24">
        <v>0</v>
      </c>
      <c r="U12" s="50">
        <v>1</v>
      </c>
      <c r="V12" s="51">
        <v>1</v>
      </c>
      <c r="W12" s="51">
        <f>IF((I12+J12+K12+L12+V12)=5,1,0)</f>
        <v>1</v>
      </c>
      <c r="X12" s="51">
        <f t="shared" si="0"/>
        <v>1</v>
      </c>
    </row>
    <row r="13" spans="2:24">
      <c r="B13" s="10">
        <v>10</v>
      </c>
      <c r="C13" s="44">
        <v>45786</v>
      </c>
      <c r="D13" s="38" t="s">
        <v>41</v>
      </c>
      <c r="E13" s="40" t="s">
        <v>42</v>
      </c>
      <c r="F13" s="13">
        <v>2023</v>
      </c>
      <c r="G13" s="13" t="s">
        <v>25</v>
      </c>
      <c r="H13" s="46">
        <v>61037546.978818782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1</v>
      </c>
      <c r="U13" s="50">
        <v>0.75</v>
      </c>
      <c r="V13" s="51">
        <v>1</v>
      </c>
      <c r="W13" s="51">
        <f>IF((I13+J13+K13+L13+V13)=5,1,0)</f>
        <v>1</v>
      </c>
      <c r="X13" s="51">
        <f t="shared" si="0"/>
        <v>0.75</v>
      </c>
    </row>
    <row r="14" spans="2:24">
      <c r="B14" s="24">
        <v>11</v>
      </c>
      <c r="C14" s="43">
        <v>45793</v>
      </c>
      <c r="D14" s="38" t="s">
        <v>43</v>
      </c>
      <c r="E14" s="40" t="s">
        <v>44</v>
      </c>
      <c r="F14" s="13">
        <v>2021</v>
      </c>
      <c r="G14" s="13" t="s">
        <v>25</v>
      </c>
      <c r="H14" s="46">
        <v>61714130.167670064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1</v>
      </c>
      <c r="U14" s="50">
        <v>1</v>
      </c>
      <c r="V14" s="51">
        <v>1</v>
      </c>
      <c r="W14" s="51">
        <f>IF((I14+J14+K14+L14+V14)=5,1,0)</f>
        <v>1</v>
      </c>
      <c r="X14" s="51">
        <f t="shared" si="0"/>
        <v>1</v>
      </c>
    </row>
    <row r="15" spans="2:24">
      <c r="B15" s="10">
        <v>12</v>
      </c>
      <c r="C15" s="44">
        <v>45793</v>
      </c>
      <c r="D15" s="38" t="s">
        <v>45</v>
      </c>
      <c r="E15" s="41" t="s">
        <v>46</v>
      </c>
      <c r="F15" s="14">
        <v>2020</v>
      </c>
      <c r="G15" s="13" t="s">
        <v>30</v>
      </c>
      <c r="H15" s="47">
        <v>-62405695.620120399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1</v>
      </c>
      <c r="T15" s="24">
        <v>1</v>
      </c>
      <c r="U15" s="50">
        <v>1</v>
      </c>
      <c r="V15" s="51">
        <v>1</v>
      </c>
      <c r="W15" s="51">
        <f>IF((I15+J15+K15+L15+V15)=5,1,0)</f>
        <v>1</v>
      </c>
      <c r="X15" s="51">
        <f t="shared" si="0"/>
        <v>1</v>
      </c>
    </row>
    <row r="16" spans="2:24" s="3" customFormat="1">
      <c r="B16" s="24">
        <v>13</v>
      </c>
      <c r="C16" s="43">
        <v>45807</v>
      </c>
      <c r="D16" s="38" t="s">
        <v>47</v>
      </c>
      <c r="E16" s="40" t="s">
        <v>48</v>
      </c>
      <c r="F16" s="13">
        <v>2021</v>
      </c>
      <c r="G16" s="13" t="s">
        <v>25</v>
      </c>
      <c r="H16" s="46">
        <v>63112740.430615656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0</v>
      </c>
      <c r="S16" s="24">
        <v>1</v>
      </c>
      <c r="T16" s="24">
        <v>0</v>
      </c>
      <c r="U16" s="50">
        <v>1</v>
      </c>
      <c r="V16" s="51">
        <v>1</v>
      </c>
      <c r="W16" s="51">
        <f>IF((I16+J16+K16+L16+V16)=5,1,0)</f>
        <v>1</v>
      </c>
      <c r="X16" s="51">
        <f t="shared" si="0"/>
        <v>1</v>
      </c>
    </row>
    <row r="17" spans="2:24">
      <c r="B17" s="10">
        <v>14</v>
      </c>
      <c r="C17" s="44">
        <v>45814</v>
      </c>
      <c r="D17" s="38" t="s">
        <v>49</v>
      </c>
      <c r="E17" s="39" t="s">
        <v>50</v>
      </c>
      <c r="F17" s="12">
        <v>2022</v>
      </c>
      <c r="G17" s="13" t="s">
        <v>25</v>
      </c>
      <c r="H17" s="46">
        <v>63835783.660286188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1</v>
      </c>
      <c r="U17" s="50">
        <v>1</v>
      </c>
      <c r="V17" s="51">
        <v>1</v>
      </c>
      <c r="W17" s="51">
        <f>IF((I17+J17+K17+L17+V17)=5,1,0)</f>
        <v>1</v>
      </c>
      <c r="X17" s="51">
        <f t="shared" si="0"/>
        <v>1</v>
      </c>
    </row>
    <row r="18" spans="2:24">
      <c r="B18" s="24">
        <v>15</v>
      </c>
      <c r="C18" s="43">
        <v>45814</v>
      </c>
      <c r="D18" s="38" t="s">
        <v>51</v>
      </c>
      <c r="E18" s="39" t="s">
        <v>52</v>
      </c>
      <c r="F18" s="12">
        <v>2022</v>
      </c>
      <c r="G18" s="13" t="s">
        <v>25</v>
      </c>
      <c r="H18" s="46">
        <v>64575367.549042925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1</v>
      </c>
      <c r="U18" s="50">
        <v>1</v>
      </c>
      <c r="V18" s="51">
        <v>1</v>
      </c>
      <c r="W18" s="51">
        <f>IF((I18+J18+K18+L18+V18)=5,1,0)</f>
        <v>1</v>
      </c>
      <c r="X18" s="51">
        <f t="shared" si="0"/>
        <v>1</v>
      </c>
    </row>
    <row r="19" spans="2:24">
      <c r="B19" s="10">
        <v>16</v>
      </c>
      <c r="C19" s="44">
        <v>45828</v>
      </c>
      <c r="D19" s="38" t="s">
        <v>53</v>
      </c>
      <c r="E19" s="39" t="s">
        <v>54</v>
      </c>
      <c r="F19" s="12">
        <v>2022</v>
      </c>
      <c r="G19" s="13" t="s">
        <v>25</v>
      </c>
      <c r="H19" s="46">
        <v>65332058.807846867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0</v>
      </c>
      <c r="O19" s="24">
        <v>1</v>
      </c>
      <c r="P19" s="24">
        <v>0</v>
      </c>
      <c r="Q19" s="24">
        <v>0</v>
      </c>
      <c r="R19" s="24">
        <v>0</v>
      </c>
      <c r="S19" s="24">
        <v>0</v>
      </c>
      <c r="T19" s="24">
        <v>1</v>
      </c>
      <c r="U19" s="50">
        <v>1</v>
      </c>
      <c r="V19" s="51">
        <v>1</v>
      </c>
      <c r="W19" s="51">
        <f>IF((I19+J19+K19+L19+V19)=5,1,0)</f>
        <v>1</v>
      </c>
      <c r="X19" s="51">
        <f t="shared" si="0"/>
        <v>1</v>
      </c>
    </row>
    <row r="20" spans="2:24">
      <c r="B20" s="24">
        <v>17</v>
      </c>
      <c r="C20" s="43">
        <v>38523</v>
      </c>
      <c r="D20" s="38" t="s">
        <v>55</v>
      </c>
      <c r="E20" s="39" t="s">
        <v>56</v>
      </c>
      <c r="F20" s="12">
        <v>2021</v>
      </c>
      <c r="G20" s="13" t="s">
        <v>25</v>
      </c>
      <c r="H20" s="46">
        <v>66106449.997333966</v>
      </c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0</v>
      </c>
      <c r="O20" s="24">
        <v>0</v>
      </c>
      <c r="P20" s="24">
        <v>0</v>
      </c>
      <c r="Q20" s="24">
        <v>0</v>
      </c>
      <c r="R20" s="24">
        <v>1</v>
      </c>
      <c r="S20" s="24">
        <v>1</v>
      </c>
      <c r="T20" s="24">
        <v>1</v>
      </c>
      <c r="U20" s="50">
        <v>0.75</v>
      </c>
      <c r="V20" s="51">
        <v>1</v>
      </c>
      <c r="W20" s="51">
        <f>IF((I20+J20+K20+L20+V20)=5,1,0)</f>
        <v>1</v>
      </c>
      <c r="X20" s="51">
        <f t="shared" si="0"/>
        <v>0.75</v>
      </c>
    </row>
    <row r="21" spans="2:24">
      <c r="B21" s="10">
        <v>18</v>
      </c>
      <c r="C21" s="44">
        <v>45842</v>
      </c>
      <c r="D21" s="38" t="s">
        <v>23</v>
      </c>
      <c r="E21" s="39" t="s">
        <v>24</v>
      </c>
      <c r="F21" s="12">
        <v>2021</v>
      </c>
      <c r="G21" s="13" t="s">
        <v>25</v>
      </c>
      <c r="H21" s="46">
        <v>66899160.999520116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50">
        <v>0</v>
      </c>
      <c r="V21" s="51">
        <v>1</v>
      </c>
      <c r="W21" s="51">
        <f>IF((I21+J21+K21+L21+V21)=5,1,0)</f>
        <v>1</v>
      </c>
      <c r="X21" s="51">
        <f t="shared" si="0"/>
        <v>0</v>
      </c>
    </row>
    <row r="22" spans="2:24">
      <c r="B22" s="24">
        <v>19</v>
      </c>
      <c r="C22" s="43">
        <v>45856</v>
      </c>
      <c r="D22" s="38" t="s">
        <v>57</v>
      </c>
      <c r="E22" s="39" t="s">
        <v>32</v>
      </c>
      <c r="F22" s="12">
        <v>2022</v>
      </c>
      <c r="G22" s="13" t="s">
        <v>25</v>
      </c>
      <c r="H22" s="46">
        <v>67710840.589908823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50">
        <v>1</v>
      </c>
      <c r="V22" s="51">
        <v>1</v>
      </c>
      <c r="W22" s="51">
        <f>IF((I22+J22+K22+L22+V22)=5,1,0)</f>
        <v>1</v>
      </c>
      <c r="X22" s="51">
        <f t="shared" si="0"/>
        <v>1</v>
      </c>
    </row>
    <row r="23" spans="2:24">
      <c r="B23" s="10">
        <v>20</v>
      </c>
      <c r="C23" s="44">
        <v>45905</v>
      </c>
      <c r="D23" s="38" t="s">
        <v>66</v>
      </c>
      <c r="E23" s="39" t="s">
        <v>58</v>
      </c>
      <c r="F23" s="12">
        <v>2021</v>
      </c>
      <c r="G23" s="13" t="s">
        <v>25</v>
      </c>
      <c r="H23" s="46">
        <v>68542168.117981762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0</v>
      </c>
      <c r="O23" s="24">
        <v>0</v>
      </c>
      <c r="P23" s="24">
        <v>0</v>
      </c>
      <c r="Q23" s="24">
        <v>0</v>
      </c>
      <c r="R23" s="24">
        <v>1</v>
      </c>
      <c r="S23" s="24">
        <v>0</v>
      </c>
      <c r="T23" s="24">
        <v>1</v>
      </c>
      <c r="U23" s="50">
        <v>1</v>
      </c>
      <c r="V23" s="51">
        <v>1</v>
      </c>
      <c r="W23" s="51">
        <f>IF((I23+J23+K23+L23+V23)=5,1,0)</f>
        <v>1</v>
      </c>
      <c r="X23" s="51">
        <f t="shared" si="0"/>
        <v>1</v>
      </c>
    </row>
    <row r="24" spans="2:24" s="2" customFormat="1">
      <c r="B24"/>
      <c r="C24"/>
      <c r="D24"/>
      <c r="E24"/>
      <c r="F24"/>
      <c r="G24"/>
      <c r="H24"/>
      <c r="U24"/>
      <c r="V24"/>
      <c r="W24"/>
      <c r="X24"/>
    </row>
    <row r="25" spans="2:24">
      <c r="B25" t="s">
        <v>59</v>
      </c>
    </row>
    <row r="26" spans="2:24">
      <c r="B26" s="42" t="s">
        <v>60</v>
      </c>
      <c r="C26" s="42"/>
    </row>
    <row r="27" spans="2:24">
      <c r="B27" s="42" t="s">
        <v>61</v>
      </c>
    </row>
  </sheetData>
  <mergeCells count="13">
    <mergeCell ref="M2:T2"/>
    <mergeCell ref="U2:U3"/>
    <mergeCell ref="V2:V3"/>
    <mergeCell ref="W2:W3"/>
    <mergeCell ref="X2:X3"/>
    <mergeCell ref="G2:G3"/>
    <mergeCell ref="H2:H3"/>
    <mergeCell ref="I2:L2"/>
    <mergeCell ref="B2:B3"/>
    <mergeCell ref="C2:C3"/>
    <mergeCell ref="D2:D3"/>
    <mergeCell ref="E2:E3"/>
    <mergeCell ref="F2:F3"/>
  </mergeCells>
  <conditionalFormatting sqref="D4:D23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BD67-590D-AD44-A1C1-0DAEA6181E5F}">
  <sheetPr>
    <tabColor rgb="FFFFFF00"/>
  </sheetPr>
  <dimension ref="B2:BA28"/>
  <sheetViews>
    <sheetView showGridLines="0" zoomScale="153" zoomScaleNormal="153" workbookViewId="0">
      <pane xSplit="5" ySplit="4" topLeftCell="AK5" activePane="bottomRight" state="frozen"/>
      <selection pane="bottomRight" activeCell="AK5" sqref="AK5"/>
      <selection pane="bottomLeft" activeCell="A3" sqref="A3"/>
      <selection pane="topRight" activeCell="F1" sqref="F1"/>
    </sheetView>
  </sheetViews>
  <sheetFormatPr defaultColWidth="11" defaultRowHeight="15.75"/>
  <cols>
    <col min="1" max="1" width="3.5" customWidth="1"/>
    <col min="2" max="2" width="5.875" customWidth="1"/>
    <col min="3" max="3" width="12" customWidth="1"/>
    <col min="4" max="4" width="16" customWidth="1"/>
    <col min="5" max="5" width="7.375" customWidth="1"/>
    <col min="6" max="6" width="11.125" customWidth="1"/>
    <col min="7" max="7" width="11.125" bestFit="1" customWidth="1"/>
    <col min="8" max="8" width="11.5" bestFit="1" customWidth="1"/>
    <col min="9" max="9" width="11.125" customWidth="1"/>
    <col min="10" max="10" width="12.5" customWidth="1"/>
    <col min="11" max="11" width="6.125" customWidth="1"/>
    <col min="13" max="14" width="4.875" customWidth="1"/>
    <col min="15" max="15" width="11.375" customWidth="1"/>
    <col min="16" max="16" width="6" bestFit="1" customWidth="1"/>
    <col min="19" max="19" width="5.375" bestFit="1" customWidth="1"/>
    <col min="20" max="20" width="8.125" customWidth="1"/>
    <col min="21" max="21" width="6.375" bestFit="1" customWidth="1"/>
    <col min="22" max="24" width="11.125" bestFit="1" customWidth="1"/>
    <col min="25" max="25" width="7.125" customWidth="1"/>
    <col min="26" max="26" width="4.875" bestFit="1" customWidth="1"/>
    <col min="27" max="27" width="5.875" bestFit="1" customWidth="1"/>
    <col min="28" max="28" width="7.125" customWidth="1"/>
    <col min="29" max="29" width="4.875" bestFit="1" customWidth="1"/>
    <col min="30" max="30" width="5.875" bestFit="1" customWidth="1"/>
    <col min="31" max="31" width="7.125" customWidth="1"/>
    <col min="32" max="32" width="4.875" bestFit="1" customWidth="1"/>
    <col min="33" max="33" width="5.875" bestFit="1" customWidth="1"/>
    <col min="34" max="34" width="7.125" customWidth="1"/>
    <col min="35" max="35" width="4.875" bestFit="1" customWidth="1"/>
    <col min="36" max="36" width="5.875" bestFit="1" customWidth="1"/>
    <col min="37" max="37" width="7.125" customWidth="1"/>
    <col min="38" max="38" width="4.875" bestFit="1" customWidth="1"/>
    <col min="39" max="39" width="5.875" bestFit="1" customWidth="1"/>
    <col min="40" max="40" width="7.125" customWidth="1"/>
    <col min="41" max="41" width="4.875" bestFit="1" customWidth="1"/>
    <col min="42" max="42" width="5.875" bestFit="1" customWidth="1"/>
    <col min="43" max="43" width="7.125" customWidth="1"/>
    <col min="44" max="44" width="4.875" bestFit="1" customWidth="1"/>
    <col min="45" max="45" width="5.875" bestFit="1" customWidth="1"/>
    <col min="46" max="46" width="7.125" customWidth="1"/>
    <col min="47" max="47" width="4.875" bestFit="1" customWidth="1"/>
    <col min="48" max="48" width="5.875" bestFit="1" customWidth="1"/>
    <col min="49" max="49" width="7.125" customWidth="1"/>
    <col min="50" max="50" width="4.875" bestFit="1" customWidth="1"/>
    <col min="51" max="51" width="5.875" bestFit="1" customWidth="1"/>
    <col min="52" max="52" width="7.125" customWidth="1"/>
    <col min="53" max="53" width="11.125" bestFit="1" customWidth="1"/>
  </cols>
  <sheetData>
    <row r="2" spans="2:53" s="37" customFormat="1" ht="33.950000000000003" customHeight="1">
      <c r="B2" s="65" t="s">
        <v>2</v>
      </c>
      <c r="C2" s="65" t="s">
        <v>3</v>
      </c>
      <c r="D2" s="65" t="s">
        <v>4</v>
      </c>
      <c r="E2" s="69" t="s">
        <v>5</v>
      </c>
      <c r="F2" s="69" t="s">
        <v>6</v>
      </c>
      <c r="G2" s="65" t="s">
        <v>7</v>
      </c>
      <c r="H2" s="69" t="s">
        <v>8</v>
      </c>
      <c r="I2" s="68" t="s">
        <v>9</v>
      </c>
      <c r="J2" s="68"/>
      <c r="K2" s="68"/>
      <c r="L2" s="68"/>
      <c r="M2" s="68" t="s">
        <v>10</v>
      </c>
      <c r="N2" s="68"/>
      <c r="O2" s="68"/>
      <c r="P2" s="68"/>
      <c r="Q2" s="68"/>
      <c r="R2" s="68"/>
      <c r="S2" s="68"/>
      <c r="T2" s="68"/>
      <c r="U2" s="68"/>
      <c r="V2" s="71" t="s">
        <v>62</v>
      </c>
      <c r="W2" s="71" t="s">
        <v>63</v>
      </c>
      <c r="X2" s="71" t="s">
        <v>64</v>
      </c>
      <c r="Y2" s="78" t="s">
        <v>67</v>
      </c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1" t="s">
        <v>68</v>
      </c>
    </row>
    <row r="3" spans="2:53" s="37" customFormat="1" ht="33.950000000000003" customHeight="1">
      <c r="B3" s="73"/>
      <c r="C3" s="73"/>
      <c r="D3" s="73"/>
      <c r="E3" s="74"/>
      <c r="F3" s="74"/>
      <c r="G3" s="73"/>
      <c r="H3" s="74"/>
      <c r="I3" s="69" t="s">
        <v>11</v>
      </c>
      <c r="J3" s="69" t="s">
        <v>12</v>
      </c>
      <c r="K3" s="69" t="s">
        <v>13</v>
      </c>
      <c r="L3" s="69" t="s">
        <v>14</v>
      </c>
      <c r="M3" s="69" t="s">
        <v>15</v>
      </c>
      <c r="N3" s="69" t="s">
        <v>16</v>
      </c>
      <c r="O3" s="69" t="s">
        <v>17</v>
      </c>
      <c r="P3" s="69" t="s">
        <v>18</v>
      </c>
      <c r="Q3" s="69" t="s">
        <v>19</v>
      </c>
      <c r="R3" s="69" t="s">
        <v>20</v>
      </c>
      <c r="S3" s="69" t="s">
        <v>30</v>
      </c>
      <c r="T3" s="69" t="s">
        <v>21</v>
      </c>
      <c r="U3" s="69" t="s">
        <v>22</v>
      </c>
      <c r="V3" s="76"/>
      <c r="W3" s="76"/>
      <c r="X3" s="76"/>
      <c r="Y3" s="75" t="s">
        <v>69</v>
      </c>
      <c r="Z3" s="75"/>
      <c r="AA3" s="75"/>
      <c r="AB3" s="75" t="str">
        <f>M3</f>
        <v>ALK</v>
      </c>
      <c r="AC3" s="75"/>
      <c r="AD3" s="75"/>
      <c r="AE3" s="75" t="str">
        <f>N3</f>
        <v>TP</v>
      </c>
      <c r="AF3" s="75"/>
      <c r="AG3" s="75"/>
      <c r="AH3" s="75" t="str">
        <f>O3</f>
        <v>MIRRORING</v>
      </c>
      <c r="AI3" s="75"/>
      <c r="AJ3" s="75"/>
      <c r="AK3" s="75" t="str">
        <f>P3</f>
        <v>WP GRUP</v>
      </c>
      <c r="AL3" s="75"/>
      <c r="AM3" s="75"/>
      <c r="AN3" s="75" t="str">
        <f>Q3</f>
        <v>PENILAIAN</v>
      </c>
      <c r="AO3" s="75"/>
      <c r="AP3" s="75"/>
      <c r="AQ3" s="75" t="str">
        <f>R3</f>
        <v>DATA EKSTERNAL</v>
      </c>
      <c r="AR3" s="75"/>
      <c r="AS3" s="75"/>
      <c r="AT3" s="75" t="str">
        <f>T3</f>
        <v>DATA VISIT</v>
      </c>
      <c r="AU3" s="75"/>
      <c r="AV3" s="75"/>
      <c r="AW3" s="75" t="str">
        <f>U3</f>
        <v>ALKET</v>
      </c>
      <c r="AX3" s="75"/>
      <c r="AY3" s="75"/>
      <c r="AZ3" s="77" t="s">
        <v>70</v>
      </c>
      <c r="BA3" s="76"/>
    </row>
    <row r="4" spans="2:53" s="36" customFormat="1" ht="42.95" customHeight="1">
      <c r="B4" s="66"/>
      <c r="C4" s="66"/>
      <c r="D4" s="66"/>
      <c r="E4" s="70"/>
      <c r="F4" s="70"/>
      <c r="G4" s="66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2"/>
      <c r="W4" s="72"/>
      <c r="X4" s="72"/>
      <c r="Y4" s="61" t="s">
        <v>71</v>
      </c>
      <c r="Z4" s="61" t="s">
        <v>72</v>
      </c>
      <c r="AA4" s="61" t="s">
        <v>70</v>
      </c>
      <c r="AB4" s="61" t="s">
        <v>71</v>
      </c>
      <c r="AC4" s="61" t="s">
        <v>72</v>
      </c>
      <c r="AD4" s="61" t="s">
        <v>70</v>
      </c>
      <c r="AE4" s="61" t="s">
        <v>71</v>
      </c>
      <c r="AF4" s="61" t="s">
        <v>72</v>
      </c>
      <c r="AG4" s="61" t="s">
        <v>70</v>
      </c>
      <c r="AH4" s="61" t="s">
        <v>71</v>
      </c>
      <c r="AI4" s="61" t="s">
        <v>72</v>
      </c>
      <c r="AJ4" s="61" t="s">
        <v>70</v>
      </c>
      <c r="AK4" s="61" t="s">
        <v>71</v>
      </c>
      <c r="AL4" s="61" t="s">
        <v>72</v>
      </c>
      <c r="AM4" s="61" t="s">
        <v>70</v>
      </c>
      <c r="AN4" s="61" t="s">
        <v>71</v>
      </c>
      <c r="AO4" s="61" t="s">
        <v>72</v>
      </c>
      <c r="AP4" s="61" t="s">
        <v>70</v>
      </c>
      <c r="AQ4" s="61" t="s">
        <v>71</v>
      </c>
      <c r="AR4" s="61" t="s">
        <v>72</v>
      </c>
      <c r="AS4" s="61" t="s">
        <v>70</v>
      </c>
      <c r="AT4" s="61" t="s">
        <v>71</v>
      </c>
      <c r="AU4" s="61" t="s">
        <v>72</v>
      </c>
      <c r="AV4" s="61" t="s">
        <v>70</v>
      </c>
      <c r="AW4" s="61" t="s">
        <v>71</v>
      </c>
      <c r="AX4" s="61" t="s">
        <v>72</v>
      </c>
      <c r="AY4" s="61" t="s">
        <v>70</v>
      </c>
      <c r="AZ4" s="77"/>
      <c r="BA4" s="72"/>
    </row>
    <row r="5" spans="2:53" s="1" customFormat="1">
      <c r="B5" s="24">
        <v>1</v>
      </c>
      <c r="C5" s="43">
        <v>45667</v>
      </c>
      <c r="D5" s="38" t="s">
        <v>23</v>
      </c>
      <c r="E5" s="39" t="s">
        <v>24</v>
      </c>
      <c r="F5" s="12">
        <v>2021</v>
      </c>
      <c r="G5" s="12" t="s">
        <v>25</v>
      </c>
      <c r="H5" s="45">
        <v>55000000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0</v>
      </c>
      <c r="O5" s="24">
        <v>1</v>
      </c>
      <c r="P5" s="24">
        <v>0</v>
      </c>
      <c r="Q5" s="24">
        <v>0</v>
      </c>
      <c r="R5" s="24">
        <v>0</v>
      </c>
      <c r="S5" s="24">
        <v>0</v>
      </c>
      <c r="T5" s="24">
        <v>1</v>
      </c>
      <c r="U5" s="24">
        <v>1</v>
      </c>
      <c r="V5" s="50">
        <v>1</v>
      </c>
      <c r="W5" s="51">
        <v>1</v>
      </c>
      <c r="X5" s="51">
        <f>IF((I5+J5+K5+L5+W5)=5,1,0)</f>
        <v>1</v>
      </c>
      <c r="Y5" s="24">
        <v>1</v>
      </c>
      <c r="Z5" s="58">
        <f>Ref!$F$3</f>
        <v>0.60000000000000009</v>
      </c>
      <c r="AA5" s="58">
        <f>Y5*Z5</f>
        <v>0.60000000000000009</v>
      </c>
      <c r="AB5" s="24">
        <f>M5</f>
        <v>1</v>
      </c>
      <c r="AC5" s="58">
        <f>Ref!$F$4</f>
        <v>0.2</v>
      </c>
      <c r="AD5" s="58">
        <f>AB5*AC5</f>
        <v>0.2</v>
      </c>
      <c r="AE5" s="24">
        <f>N5</f>
        <v>0</v>
      </c>
      <c r="AF5" s="58">
        <f>Ref!$F$5</f>
        <v>0.4</v>
      </c>
      <c r="AG5" s="58">
        <f>AE5*AF5</f>
        <v>0</v>
      </c>
      <c r="AH5" s="24">
        <f>O5</f>
        <v>1</v>
      </c>
      <c r="AI5" s="58">
        <f>Ref!$F$6</f>
        <v>0.1</v>
      </c>
      <c r="AJ5" s="58">
        <f>AH5*AI5</f>
        <v>0.1</v>
      </c>
      <c r="AK5" s="24">
        <f>P5</f>
        <v>0</v>
      </c>
      <c r="AL5" s="58">
        <f>Ref!$F$7</f>
        <v>0.4</v>
      </c>
      <c r="AM5" s="58">
        <f>AK5*AL5</f>
        <v>0</v>
      </c>
      <c r="AN5" s="24">
        <f>Q5</f>
        <v>0</v>
      </c>
      <c r="AO5" s="58">
        <f>Ref!$F$8</f>
        <v>0.15000000000000002</v>
      </c>
      <c r="AP5" s="58">
        <f>AN5*AO5</f>
        <v>0</v>
      </c>
      <c r="AQ5" s="24">
        <f>R5</f>
        <v>0</v>
      </c>
      <c r="AR5" s="58">
        <f>Ref!$F$9</f>
        <v>0.1</v>
      </c>
      <c r="AS5" s="58">
        <f>AQ5*AR5</f>
        <v>0</v>
      </c>
      <c r="AT5" s="24">
        <f>T5</f>
        <v>1</v>
      </c>
      <c r="AU5" s="58">
        <f>Ref!$F$10</f>
        <v>0.2</v>
      </c>
      <c r="AV5" s="58">
        <f>AT5*AU5</f>
        <v>0.2</v>
      </c>
      <c r="AW5" s="24">
        <f>U5</f>
        <v>1</v>
      </c>
      <c r="AX5" s="58">
        <f>Ref!$F$11</f>
        <v>0.15000000000000002</v>
      </c>
      <c r="AY5" s="58">
        <f>AW5*AX5</f>
        <v>0.15000000000000002</v>
      </c>
      <c r="AZ5" s="58">
        <f>AA5+AD5+AG5+AJ5+AM5+AP5+AS5+AV5+AY5</f>
        <v>1.25</v>
      </c>
      <c r="BA5" s="51">
        <f>V5*X5*AZ5</f>
        <v>1.25</v>
      </c>
    </row>
    <row r="6" spans="2:53">
      <c r="B6" s="10">
        <v>2</v>
      </c>
      <c r="C6" s="44">
        <v>45681</v>
      </c>
      <c r="D6" s="38" t="s">
        <v>26</v>
      </c>
      <c r="E6" s="40" t="s">
        <v>27</v>
      </c>
      <c r="F6" s="13">
        <v>2022</v>
      </c>
      <c r="G6" s="13" t="s">
        <v>25</v>
      </c>
      <c r="H6" s="46">
        <v>46100000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1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1</v>
      </c>
      <c r="U6" s="24">
        <v>1</v>
      </c>
      <c r="V6" s="50">
        <v>1</v>
      </c>
      <c r="W6" s="51">
        <v>0</v>
      </c>
      <c r="X6" s="51">
        <f t="shared" ref="X6:X24" si="0">IF((I6+J6+K6+L6+W6)=5,1,0)</f>
        <v>0</v>
      </c>
      <c r="Y6" s="24">
        <v>1</v>
      </c>
      <c r="Z6" s="58">
        <f>Ref!$F$3</f>
        <v>0.60000000000000009</v>
      </c>
      <c r="AA6" s="58">
        <f t="shared" ref="AA6:AA24" si="1">Y6*Z6</f>
        <v>0.60000000000000009</v>
      </c>
      <c r="AB6" s="24">
        <f t="shared" ref="AB6:AB24" si="2">M6</f>
        <v>1</v>
      </c>
      <c r="AC6" s="58">
        <f>Ref!$F$4</f>
        <v>0.2</v>
      </c>
      <c r="AD6" s="58">
        <f t="shared" ref="AD6:AD24" si="3">AB6*AC6</f>
        <v>0.2</v>
      </c>
      <c r="AE6" s="24">
        <f t="shared" ref="AE6:AE24" si="4">N6</f>
        <v>1</v>
      </c>
      <c r="AF6" s="58">
        <f>Ref!$F$5</f>
        <v>0.4</v>
      </c>
      <c r="AG6" s="58">
        <f t="shared" ref="AG6:AG24" si="5">AE6*AF6</f>
        <v>0.4</v>
      </c>
      <c r="AH6" s="24">
        <f t="shared" ref="AH6:AH24" si="6">O6</f>
        <v>0</v>
      </c>
      <c r="AI6" s="58">
        <f>Ref!$F$6</f>
        <v>0.1</v>
      </c>
      <c r="AJ6" s="58">
        <f t="shared" ref="AJ6:AJ24" si="7">AH6*AI6</f>
        <v>0</v>
      </c>
      <c r="AK6" s="24">
        <f t="shared" ref="AK6:AK24" si="8">P6</f>
        <v>0</v>
      </c>
      <c r="AL6" s="58">
        <f>Ref!$F$7</f>
        <v>0.4</v>
      </c>
      <c r="AM6" s="58">
        <f t="shared" ref="AM6:AM24" si="9">AK6*AL6</f>
        <v>0</v>
      </c>
      <c r="AN6" s="24">
        <f t="shared" ref="AN6:AN24" si="10">Q6</f>
        <v>0</v>
      </c>
      <c r="AO6" s="58">
        <f>Ref!$F$8</f>
        <v>0.15000000000000002</v>
      </c>
      <c r="AP6" s="58">
        <f t="shared" ref="AP6:AP24" si="11">AN6*AO6</f>
        <v>0</v>
      </c>
      <c r="AQ6" s="24">
        <f t="shared" ref="AQ6:AQ24" si="12">R6</f>
        <v>0</v>
      </c>
      <c r="AR6" s="58">
        <f>Ref!$F$9</f>
        <v>0.1</v>
      </c>
      <c r="AS6" s="58">
        <f t="shared" ref="AS6:AS24" si="13">AQ6*AR6</f>
        <v>0</v>
      </c>
      <c r="AT6" s="24">
        <f>T6</f>
        <v>1</v>
      </c>
      <c r="AU6" s="58">
        <f>Ref!$F$10</f>
        <v>0.2</v>
      </c>
      <c r="AV6" s="58">
        <f t="shared" ref="AV6:AV24" si="14">AT6*AU6</f>
        <v>0.2</v>
      </c>
      <c r="AW6" s="24">
        <f>U6</f>
        <v>1</v>
      </c>
      <c r="AX6" s="58">
        <f>Ref!$F$11</f>
        <v>0.15000000000000002</v>
      </c>
      <c r="AY6" s="58">
        <f t="shared" ref="AY6:AY24" si="15">AW6*AX6</f>
        <v>0.15000000000000002</v>
      </c>
      <c r="AZ6" s="58">
        <f t="shared" ref="AZ6:AZ24" si="16">AA6+AD6+AG6+AJ6+AM6+AP6+AS6+AV6+AY6</f>
        <v>1.5500000000000003</v>
      </c>
      <c r="BA6" s="51">
        <f>V6*X6*AZ6</f>
        <v>0</v>
      </c>
    </row>
    <row r="7" spans="2:53">
      <c r="B7" s="24">
        <v>3</v>
      </c>
      <c r="C7" s="43">
        <v>45702</v>
      </c>
      <c r="D7" s="38" t="s">
        <v>28</v>
      </c>
      <c r="E7" s="40" t="s">
        <v>29</v>
      </c>
      <c r="F7" s="13">
        <v>2020</v>
      </c>
      <c r="G7" s="13" t="s">
        <v>30</v>
      </c>
      <c r="H7" s="48">
        <v>-56683000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0</v>
      </c>
      <c r="O7" s="24">
        <v>0</v>
      </c>
      <c r="P7" s="24">
        <v>0</v>
      </c>
      <c r="Q7" s="24">
        <v>0</v>
      </c>
      <c r="R7" s="24">
        <v>1</v>
      </c>
      <c r="S7" s="24">
        <v>1</v>
      </c>
      <c r="T7" s="24">
        <v>1</v>
      </c>
      <c r="U7" s="24">
        <v>1</v>
      </c>
      <c r="V7" s="50">
        <v>1</v>
      </c>
      <c r="W7" s="51">
        <v>1</v>
      </c>
      <c r="X7" s="51">
        <f t="shared" si="0"/>
        <v>1</v>
      </c>
      <c r="Y7" s="24">
        <v>0</v>
      </c>
      <c r="Z7" s="58">
        <f>Ref!$F$3</f>
        <v>0.60000000000000009</v>
      </c>
      <c r="AA7" s="58">
        <f t="shared" si="1"/>
        <v>0</v>
      </c>
      <c r="AB7" s="24">
        <f t="shared" si="2"/>
        <v>1</v>
      </c>
      <c r="AC7" s="58">
        <f>Ref!$F$4</f>
        <v>0.2</v>
      </c>
      <c r="AD7" s="58">
        <f t="shared" si="3"/>
        <v>0.2</v>
      </c>
      <c r="AE7" s="24">
        <f t="shared" si="4"/>
        <v>0</v>
      </c>
      <c r="AF7" s="58">
        <f>Ref!$F$5</f>
        <v>0.4</v>
      </c>
      <c r="AG7" s="58">
        <f t="shared" si="5"/>
        <v>0</v>
      </c>
      <c r="AH7" s="24">
        <f t="shared" si="6"/>
        <v>0</v>
      </c>
      <c r="AI7" s="58">
        <f>Ref!$F$6</f>
        <v>0.1</v>
      </c>
      <c r="AJ7" s="58">
        <f t="shared" si="7"/>
        <v>0</v>
      </c>
      <c r="AK7" s="24">
        <f t="shared" si="8"/>
        <v>0</v>
      </c>
      <c r="AL7" s="58">
        <f>Ref!$F$7</f>
        <v>0.4</v>
      </c>
      <c r="AM7" s="58">
        <f t="shared" si="9"/>
        <v>0</v>
      </c>
      <c r="AN7" s="24">
        <f t="shared" si="10"/>
        <v>0</v>
      </c>
      <c r="AO7" s="58">
        <f>Ref!$F$8</f>
        <v>0.15000000000000002</v>
      </c>
      <c r="AP7" s="58">
        <f t="shared" si="11"/>
        <v>0</v>
      </c>
      <c r="AQ7" s="24">
        <f t="shared" si="12"/>
        <v>1</v>
      </c>
      <c r="AR7" s="58">
        <f>Ref!$F$9</f>
        <v>0.1</v>
      </c>
      <c r="AS7" s="58">
        <f t="shared" si="13"/>
        <v>0.1</v>
      </c>
      <c r="AT7" s="24">
        <f>T7</f>
        <v>1</v>
      </c>
      <c r="AU7" s="58">
        <f>Ref!$F$10</f>
        <v>0.2</v>
      </c>
      <c r="AV7" s="58">
        <f t="shared" si="14"/>
        <v>0.2</v>
      </c>
      <c r="AW7" s="24">
        <f>U7</f>
        <v>1</v>
      </c>
      <c r="AX7" s="58">
        <f>Ref!$F$11</f>
        <v>0.15000000000000002</v>
      </c>
      <c r="AY7" s="58">
        <f t="shared" si="15"/>
        <v>0.15000000000000002</v>
      </c>
      <c r="AZ7" s="58">
        <f t="shared" si="16"/>
        <v>0.65</v>
      </c>
      <c r="BA7" s="51">
        <f>V7*X7*AZ7</f>
        <v>0.65</v>
      </c>
    </row>
    <row r="8" spans="2:53">
      <c r="B8" s="10">
        <v>4</v>
      </c>
      <c r="C8" s="44">
        <v>45709</v>
      </c>
      <c r="D8" s="38" t="s">
        <v>31</v>
      </c>
      <c r="E8" s="40" t="s">
        <v>32</v>
      </c>
      <c r="F8" s="13">
        <v>2021</v>
      </c>
      <c r="G8" s="13" t="s">
        <v>25</v>
      </c>
      <c r="H8" s="46">
        <v>57267320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0</v>
      </c>
      <c r="O8" s="24">
        <v>1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50">
        <v>1</v>
      </c>
      <c r="W8" s="51">
        <v>1</v>
      </c>
      <c r="X8" s="51">
        <f t="shared" si="0"/>
        <v>1</v>
      </c>
      <c r="Y8" s="24">
        <v>1</v>
      </c>
      <c r="Z8" s="58">
        <f>Ref!$F$3</f>
        <v>0.60000000000000009</v>
      </c>
      <c r="AA8" s="58">
        <f t="shared" si="1"/>
        <v>0.60000000000000009</v>
      </c>
      <c r="AB8" s="24">
        <f t="shared" si="2"/>
        <v>1</v>
      </c>
      <c r="AC8" s="58">
        <f>Ref!$F$4</f>
        <v>0.2</v>
      </c>
      <c r="AD8" s="58">
        <f t="shared" si="3"/>
        <v>0.2</v>
      </c>
      <c r="AE8" s="24">
        <f t="shared" si="4"/>
        <v>0</v>
      </c>
      <c r="AF8" s="58">
        <f>Ref!$F$5</f>
        <v>0.4</v>
      </c>
      <c r="AG8" s="58">
        <f t="shared" si="5"/>
        <v>0</v>
      </c>
      <c r="AH8" s="24">
        <f t="shared" si="6"/>
        <v>1</v>
      </c>
      <c r="AI8" s="58">
        <f>Ref!$F$6</f>
        <v>0.1</v>
      </c>
      <c r="AJ8" s="58">
        <f t="shared" si="7"/>
        <v>0.1</v>
      </c>
      <c r="AK8" s="24">
        <f t="shared" si="8"/>
        <v>0</v>
      </c>
      <c r="AL8" s="58">
        <f>Ref!$F$7</f>
        <v>0.4</v>
      </c>
      <c r="AM8" s="58">
        <f t="shared" si="9"/>
        <v>0</v>
      </c>
      <c r="AN8" s="24">
        <f t="shared" si="10"/>
        <v>0</v>
      </c>
      <c r="AO8" s="58">
        <f>Ref!$F$8</f>
        <v>0.15000000000000002</v>
      </c>
      <c r="AP8" s="58">
        <f t="shared" si="11"/>
        <v>0</v>
      </c>
      <c r="AQ8" s="24">
        <f t="shared" si="12"/>
        <v>0</v>
      </c>
      <c r="AR8" s="58">
        <f>Ref!$F$9</f>
        <v>0.1</v>
      </c>
      <c r="AS8" s="58">
        <f t="shared" si="13"/>
        <v>0</v>
      </c>
      <c r="AT8" s="24">
        <f>T8</f>
        <v>0</v>
      </c>
      <c r="AU8" s="58">
        <f>Ref!$F$10</f>
        <v>0.2</v>
      </c>
      <c r="AV8" s="58">
        <f t="shared" si="14"/>
        <v>0</v>
      </c>
      <c r="AW8" s="24">
        <f>U8</f>
        <v>0</v>
      </c>
      <c r="AX8" s="58">
        <f>Ref!$F$11</f>
        <v>0.15000000000000002</v>
      </c>
      <c r="AY8" s="58">
        <f t="shared" si="15"/>
        <v>0</v>
      </c>
      <c r="AZ8" s="58">
        <f t="shared" si="16"/>
        <v>0.9</v>
      </c>
      <c r="BA8" s="51">
        <f>V8*X8*AZ8</f>
        <v>0.9</v>
      </c>
    </row>
    <row r="9" spans="2:53">
      <c r="B9" s="24">
        <v>5</v>
      </c>
      <c r="C9" s="43">
        <v>45723</v>
      </c>
      <c r="D9" s="38" t="s">
        <v>33</v>
      </c>
      <c r="E9" s="40" t="s">
        <v>34</v>
      </c>
      <c r="F9" s="13">
        <v>2021</v>
      </c>
      <c r="G9" s="13" t="s">
        <v>25</v>
      </c>
      <c r="H9" s="46">
        <v>57863366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0</v>
      </c>
      <c r="O9" s="24">
        <v>0</v>
      </c>
      <c r="P9" s="24">
        <v>0</v>
      </c>
      <c r="Q9" s="24">
        <v>0</v>
      </c>
      <c r="R9" s="24">
        <v>1</v>
      </c>
      <c r="S9" s="24">
        <v>0</v>
      </c>
      <c r="T9" s="24">
        <v>1</v>
      </c>
      <c r="U9" s="24">
        <v>1</v>
      </c>
      <c r="V9" s="50">
        <v>1</v>
      </c>
      <c r="W9" s="51">
        <v>1</v>
      </c>
      <c r="X9" s="51">
        <f t="shared" si="0"/>
        <v>1</v>
      </c>
      <c r="Y9" s="24">
        <v>1</v>
      </c>
      <c r="Z9" s="58">
        <f>Ref!$F$3</f>
        <v>0.60000000000000009</v>
      </c>
      <c r="AA9" s="58">
        <f t="shared" si="1"/>
        <v>0.60000000000000009</v>
      </c>
      <c r="AB9" s="24">
        <f t="shared" si="2"/>
        <v>1</v>
      </c>
      <c r="AC9" s="58">
        <f>Ref!$F$4</f>
        <v>0.2</v>
      </c>
      <c r="AD9" s="58">
        <f t="shared" si="3"/>
        <v>0.2</v>
      </c>
      <c r="AE9" s="24">
        <f t="shared" si="4"/>
        <v>0</v>
      </c>
      <c r="AF9" s="58">
        <f>Ref!$F$5</f>
        <v>0.4</v>
      </c>
      <c r="AG9" s="58">
        <f t="shared" si="5"/>
        <v>0</v>
      </c>
      <c r="AH9" s="24">
        <f t="shared" si="6"/>
        <v>0</v>
      </c>
      <c r="AI9" s="58">
        <f>Ref!$F$6</f>
        <v>0.1</v>
      </c>
      <c r="AJ9" s="58">
        <f t="shared" si="7"/>
        <v>0</v>
      </c>
      <c r="AK9" s="24">
        <f t="shared" si="8"/>
        <v>0</v>
      </c>
      <c r="AL9" s="58">
        <f>Ref!$F$7</f>
        <v>0.4</v>
      </c>
      <c r="AM9" s="58">
        <f t="shared" si="9"/>
        <v>0</v>
      </c>
      <c r="AN9" s="24">
        <f t="shared" si="10"/>
        <v>0</v>
      </c>
      <c r="AO9" s="58">
        <f>Ref!$F$8</f>
        <v>0.15000000000000002</v>
      </c>
      <c r="AP9" s="58">
        <f t="shared" si="11"/>
        <v>0</v>
      </c>
      <c r="AQ9" s="24">
        <f t="shared" si="12"/>
        <v>1</v>
      </c>
      <c r="AR9" s="58">
        <f>Ref!$F$9</f>
        <v>0.1</v>
      </c>
      <c r="AS9" s="58">
        <f t="shared" si="13"/>
        <v>0.1</v>
      </c>
      <c r="AT9" s="24">
        <f>T9</f>
        <v>1</v>
      </c>
      <c r="AU9" s="58">
        <f>Ref!$F$10</f>
        <v>0.2</v>
      </c>
      <c r="AV9" s="58">
        <f t="shared" si="14"/>
        <v>0.2</v>
      </c>
      <c r="AW9" s="24">
        <f>U9</f>
        <v>1</v>
      </c>
      <c r="AX9" s="58">
        <f>Ref!$F$11</f>
        <v>0.15000000000000002</v>
      </c>
      <c r="AY9" s="58">
        <f t="shared" si="15"/>
        <v>0.15000000000000002</v>
      </c>
      <c r="AZ9" s="58">
        <f t="shared" si="16"/>
        <v>1.25</v>
      </c>
      <c r="BA9" s="51">
        <f>V9*X9*AZ9</f>
        <v>1.25</v>
      </c>
    </row>
    <row r="10" spans="2:53">
      <c r="B10" s="10">
        <v>6</v>
      </c>
      <c r="C10" s="44">
        <v>45737</v>
      </c>
      <c r="D10" s="38" t="s">
        <v>35</v>
      </c>
      <c r="E10" s="40" t="s">
        <v>36</v>
      </c>
      <c r="F10" s="13">
        <v>2022</v>
      </c>
      <c r="G10" s="13" t="s">
        <v>25</v>
      </c>
      <c r="H10" s="46">
        <v>58471801.960000001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1</v>
      </c>
      <c r="V10" s="50">
        <v>1</v>
      </c>
      <c r="W10" s="51">
        <v>1</v>
      </c>
      <c r="X10" s="51">
        <f t="shared" si="0"/>
        <v>1</v>
      </c>
      <c r="Y10" s="24">
        <v>1</v>
      </c>
      <c r="Z10" s="58">
        <f>Ref!$F$3</f>
        <v>0.60000000000000009</v>
      </c>
      <c r="AA10" s="58">
        <f t="shared" si="1"/>
        <v>0.60000000000000009</v>
      </c>
      <c r="AB10" s="24">
        <f t="shared" si="2"/>
        <v>1</v>
      </c>
      <c r="AC10" s="58">
        <f>Ref!$F$4</f>
        <v>0.2</v>
      </c>
      <c r="AD10" s="58">
        <f t="shared" si="3"/>
        <v>0.2</v>
      </c>
      <c r="AE10" s="24">
        <f t="shared" si="4"/>
        <v>0</v>
      </c>
      <c r="AF10" s="58">
        <f>Ref!$F$5</f>
        <v>0.4</v>
      </c>
      <c r="AG10" s="58">
        <f t="shared" si="5"/>
        <v>0</v>
      </c>
      <c r="AH10" s="24">
        <f t="shared" si="6"/>
        <v>0</v>
      </c>
      <c r="AI10" s="58">
        <f>Ref!$F$6</f>
        <v>0.1</v>
      </c>
      <c r="AJ10" s="58">
        <f t="shared" si="7"/>
        <v>0</v>
      </c>
      <c r="AK10" s="24">
        <f t="shared" si="8"/>
        <v>0</v>
      </c>
      <c r="AL10" s="58">
        <f>Ref!$F$7</f>
        <v>0.4</v>
      </c>
      <c r="AM10" s="58">
        <f t="shared" si="9"/>
        <v>0</v>
      </c>
      <c r="AN10" s="24">
        <f t="shared" si="10"/>
        <v>0</v>
      </c>
      <c r="AO10" s="58">
        <f>Ref!$F$8</f>
        <v>0.15000000000000002</v>
      </c>
      <c r="AP10" s="58">
        <f t="shared" si="11"/>
        <v>0</v>
      </c>
      <c r="AQ10" s="24">
        <f t="shared" si="12"/>
        <v>0</v>
      </c>
      <c r="AR10" s="58">
        <f>Ref!$F$9</f>
        <v>0.1</v>
      </c>
      <c r="AS10" s="58">
        <f t="shared" si="13"/>
        <v>0</v>
      </c>
      <c r="AT10" s="24">
        <f>T10</f>
        <v>0</v>
      </c>
      <c r="AU10" s="58">
        <f>Ref!$F$10</f>
        <v>0.2</v>
      </c>
      <c r="AV10" s="58">
        <f t="shared" si="14"/>
        <v>0</v>
      </c>
      <c r="AW10" s="24">
        <f>U10</f>
        <v>1</v>
      </c>
      <c r="AX10" s="58">
        <f>Ref!$F$11</f>
        <v>0.15000000000000002</v>
      </c>
      <c r="AY10" s="58">
        <f t="shared" si="15"/>
        <v>0.15000000000000002</v>
      </c>
      <c r="AZ10" s="58">
        <f t="shared" si="16"/>
        <v>0.95000000000000007</v>
      </c>
      <c r="BA10" s="51">
        <f>V10*X10*AZ10</f>
        <v>0.95000000000000007</v>
      </c>
    </row>
    <row r="11" spans="2:53">
      <c r="B11" s="24">
        <v>7</v>
      </c>
      <c r="C11" s="43">
        <v>45758</v>
      </c>
      <c r="D11" s="38" t="s">
        <v>35</v>
      </c>
      <c r="E11" s="40" t="s">
        <v>36</v>
      </c>
      <c r="F11" s="13">
        <v>2022</v>
      </c>
      <c r="G11" s="13" t="s">
        <v>25</v>
      </c>
      <c r="H11" s="46">
        <v>59093026.137199998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50">
        <v>0</v>
      </c>
      <c r="W11" s="51">
        <v>1</v>
      </c>
      <c r="X11" s="51">
        <f t="shared" si="0"/>
        <v>1</v>
      </c>
      <c r="Y11" s="24">
        <v>1</v>
      </c>
      <c r="Z11" s="58">
        <f>Ref!$F$3</f>
        <v>0.60000000000000009</v>
      </c>
      <c r="AA11" s="58">
        <f t="shared" si="1"/>
        <v>0.60000000000000009</v>
      </c>
      <c r="AB11" s="24">
        <f t="shared" si="2"/>
        <v>1</v>
      </c>
      <c r="AC11" s="58">
        <f>Ref!$F$4</f>
        <v>0.2</v>
      </c>
      <c r="AD11" s="58">
        <f t="shared" si="3"/>
        <v>0.2</v>
      </c>
      <c r="AE11" s="24">
        <f t="shared" si="4"/>
        <v>0</v>
      </c>
      <c r="AF11" s="58">
        <f>Ref!$F$5</f>
        <v>0.4</v>
      </c>
      <c r="AG11" s="58">
        <f t="shared" si="5"/>
        <v>0</v>
      </c>
      <c r="AH11" s="24">
        <f t="shared" si="6"/>
        <v>0</v>
      </c>
      <c r="AI11" s="58">
        <f>Ref!$F$6</f>
        <v>0.1</v>
      </c>
      <c r="AJ11" s="58">
        <f t="shared" si="7"/>
        <v>0</v>
      </c>
      <c r="AK11" s="24">
        <f t="shared" si="8"/>
        <v>0</v>
      </c>
      <c r="AL11" s="58">
        <f>Ref!$F$7</f>
        <v>0.4</v>
      </c>
      <c r="AM11" s="58">
        <f t="shared" si="9"/>
        <v>0</v>
      </c>
      <c r="AN11" s="24">
        <f t="shared" si="10"/>
        <v>0</v>
      </c>
      <c r="AO11" s="58">
        <f>Ref!$F$8</f>
        <v>0.15000000000000002</v>
      </c>
      <c r="AP11" s="58">
        <f t="shared" si="11"/>
        <v>0</v>
      </c>
      <c r="AQ11" s="24">
        <f t="shared" si="12"/>
        <v>0</v>
      </c>
      <c r="AR11" s="58">
        <f>Ref!$F$9</f>
        <v>0.1</v>
      </c>
      <c r="AS11" s="58">
        <f t="shared" si="13"/>
        <v>0</v>
      </c>
      <c r="AT11" s="24">
        <f>T11</f>
        <v>0</v>
      </c>
      <c r="AU11" s="58">
        <f>Ref!$F$10</f>
        <v>0.2</v>
      </c>
      <c r="AV11" s="58">
        <f t="shared" si="14"/>
        <v>0</v>
      </c>
      <c r="AW11" s="24">
        <f>U11</f>
        <v>1</v>
      </c>
      <c r="AX11" s="58">
        <f>Ref!$F$11</f>
        <v>0.15000000000000002</v>
      </c>
      <c r="AY11" s="58">
        <f t="shared" si="15"/>
        <v>0.15000000000000002</v>
      </c>
      <c r="AZ11" s="58">
        <f t="shared" si="16"/>
        <v>0.95000000000000007</v>
      </c>
      <c r="BA11" s="51">
        <f>V11*X11*AZ11</f>
        <v>0</v>
      </c>
    </row>
    <row r="12" spans="2:53" s="2" customFormat="1">
      <c r="B12" s="10">
        <v>8</v>
      </c>
      <c r="C12" s="44">
        <v>45758</v>
      </c>
      <c r="D12" s="38" t="s">
        <v>37</v>
      </c>
      <c r="E12" s="39" t="s">
        <v>38</v>
      </c>
      <c r="F12" s="12">
        <v>2022</v>
      </c>
      <c r="G12" s="13" t="s">
        <v>25</v>
      </c>
      <c r="H12" s="46">
        <v>59727442.090976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0</v>
      </c>
      <c r="O12" s="24">
        <v>0</v>
      </c>
      <c r="P12" s="24">
        <v>0</v>
      </c>
      <c r="Q12" s="24">
        <v>0</v>
      </c>
      <c r="R12" s="24">
        <v>1</v>
      </c>
      <c r="S12" s="24">
        <v>0</v>
      </c>
      <c r="T12" s="24">
        <v>0</v>
      </c>
      <c r="U12" s="24">
        <v>1</v>
      </c>
      <c r="V12" s="50">
        <v>1</v>
      </c>
      <c r="W12" s="51">
        <v>1</v>
      </c>
      <c r="X12" s="51">
        <f t="shared" si="0"/>
        <v>1</v>
      </c>
      <c r="Y12" s="24">
        <v>1</v>
      </c>
      <c r="Z12" s="58">
        <f>Ref!$F$3</f>
        <v>0.60000000000000009</v>
      </c>
      <c r="AA12" s="58">
        <f t="shared" si="1"/>
        <v>0.60000000000000009</v>
      </c>
      <c r="AB12" s="24">
        <f t="shared" si="2"/>
        <v>1</v>
      </c>
      <c r="AC12" s="58">
        <f>Ref!$F$4</f>
        <v>0.2</v>
      </c>
      <c r="AD12" s="58">
        <f t="shared" si="3"/>
        <v>0.2</v>
      </c>
      <c r="AE12" s="24">
        <f t="shared" si="4"/>
        <v>0</v>
      </c>
      <c r="AF12" s="58">
        <f>Ref!$F$5</f>
        <v>0.4</v>
      </c>
      <c r="AG12" s="58">
        <f t="shared" si="5"/>
        <v>0</v>
      </c>
      <c r="AH12" s="24">
        <f t="shared" si="6"/>
        <v>0</v>
      </c>
      <c r="AI12" s="58">
        <f>Ref!$F$6</f>
        <v>0.1</v>
      </c>
      <c r="AJ12" s="58">
        <f t="shared" si="7"/>
        <v>0</v>
      </c>
      <c r="AK12" s="24">
        <f t="shared" si="8"/>
        <v>0</v>
      </c>
      <c r="AL12" s="58">
        <f>Ref!$F$7</f>
        <v>0.4</v>
      </c>
      <c r="AM12" s="58">
        <f t="shared" si="9"/>
        <v>0</v>
      </c>
      <c r="AN12" s="24">
        <f t="shared" si="10"/>
        <v>0</v>
      </c>
      <c r="AO12" s="58">
        <f>Ref!$F$8</f>
        <v>0.15000000000000002</v>
      </c>
      <c r="AP12" s="58">
        <f t="shared" si="11"/>
        <v>0</v>
      </c>
      <c r="AQ12" s="24">
        <f t="shared" si="12"/>
        <v>1</v>
      </c>
      <c r="AR12" s="58">
        <f>Ref!$F$9</f>
        <v>0.1</v>
      </c>
      <c r="AS12" s="58">
        <f t="shared" si="13"/>
        <v>0.1</v>
      </c>
      <c r="AT12" s="24">
        <f>T12</f>
        <v>0</v>
      </c>
      <c r="AU12" s="58">
        <f>Ref!$F$10</f>
        <v>0.2</v>
      </c>
      <c r="AV12" s="58">
        <f t="shared" si="14"/>
        <v>0</v>
      </c>
      <c r="AW12" s="24">
        <f>U12</f>
        <v>1</v>
      </c>
      <c r="AX12" s="58">
        <f>Ref!$F$11</f>
        <v>0.15000000000000002</v>
      </c>
      <c r="AY12" s="58">
        <f t="shared" si="15"/>
        <v>0.15000000000000002</v>
      </c>
      <c r="AZ12" s="58">
        <f t="shared" si="16"/>
        <v>1.05</v>
      </c>
      <c r="BA12" s="51">
        <f>V12*X12*AZ12</f>
        <v>1.05</v>
      </c>
    </row>
    <row r="13" spans="2:53">
      <c r="B13" s="24">
        <v>9</v>
      </c>
      <c r="C13" s="43">
        <v>45772</v>
      </c>
      <c r="D13" s="38" t="s">
        <v>39</v>
      </c>
      <c r="E13" s="40" t="s">
        <v>40</v>
      </c>
      <c r="F13" s="13">
        <v>2021</v>
      </c>
      <c r="G13" s="13" t="s">
        <v>25</v>
      </c>
      <c r="H13" s="46">
        <v>60375469.788187839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4">
        <v>1</v>
      </c>
      <c r="Q13" s="24">
        <v>1</v>
      </c>
      <c r="R13" s="24">
        <v>0</v>
      </c>
      <c r="S13" s="24">
        <v>0</v>
      </c>
      <c r="T13" s="24">
        <v>1</v>
      </c>
      <c r="U13" s="24">
        <v>0</v>
      </c>
      <c r="V13" s="50">
        <v>1</v>
      </c>
      <c r="W13" s="51">
        <v>1</v>
      </c>
      <c r="X13" s="51">
        <f t="shared" si="0"/>
        <v>1</v>
      </c>
      <c r="Y13" s="24">
        <v>1</v>
      </c>
      <c r="Z13" s="58">
        <f>Ref!$F$3</f>
        <v>0.60000000000000009</v>
      </c>
      <c r="AA13" s="58">
        <f t="shared" si="1"/>
        <v>0.60000000000000009</v>
      </c>
      <c r="AB13" s="24">
        <f t="shared" si="2"/>
        <v>1</v>
      </c>
      <c r="AC13" s="58">
        <f>Ref!$F$4</f>
        <v>0.2</v>
      </c>
      <c r="AD13" s="58">
        <f t="shared" si="3"/>
        <v>0.2</v>
      </c>
      <c r="AE13" s="24">
        <f t="shared" si="4"/>
        <v>1</v>
      </c>
      <c r="AF13" s="58">
        <f>Ref!$F$5</f>
        <v>0.4</v>
      </c>
      <c r="AG13" s="58">
        <f t="shared" si="5"/>
        <v>0.4</v>
      </c>
      <c r="AH13" s="24">
        <f t="shared" si="6"/>
        <v>1</v>
      </c>
      <c r="AI13" s="58">
        <f>Ref!$F$6</f>
        <v>0.1</v>
      </c>
      <c r="AJ13" s="58">
        <f t="shared" si="7"/>
        <v>0.1</v>
      </c>
      <c r="AK13" s="24">
        <f t="shared" si="8"/>
        <v>1</v>
      </c>
      <c r="AL13" s="58">
        <f>Ref!$F$7</f>
        <v>0.4</v>
      </c>
      <c r="AM13" s="58">
        <f t="shared" si="9"/>
        <v>0.4</v>
      </c>
      <c r="AN13" s="24">
        <f t="shared" si="10"/>
        <v>1</v>
      </c>
      <c r="AO13" s="58">
        <f>Ref!$F$8</f>
        <v>0.15000000000000002</v>
      </c>
      <c r="AP13" s="58">
        <f t="shared" si="11"/>
        <v>0.15000000000000002</v>
      </c>
      <c r="AQ13" s="24">
        <f t="shared" si="12"/>
        <v>0</v>
      </c>
      <c r="AR13" s="58">
        <f>Ref!$F$9</f>
        <v>0.1</v>
      </c>
      <c r="AS13" s="58">
        <f t="shared" si="13"/>
        <v>0</v>
      </c>
      <c r="AT13" s="24">
        <f>T13</f>
        <v>1</v>
      </c>
      <c r="AU13" s="58">
        <f>Ref!$F$10</f>
        <v>0.2</v>
      </c>
      <c r="AV13" s="58">
        <f t="shared" si="14"/>
        <v>0.2</v>
      </c>
      <c r="AW13" s="24">
        <f>U13</f>
        <v>0</v>
      </c>
      <c r="AX13" s="58">
        <f>Ref!$F$11</f>
        <v>0.15000000000000002</v>
      </c>
      <c r="AY13" s="58">
        <f t="shared" si="15"/>
        <v>0</v>
      </c>
      <c r="AZ13" s="58">
        <f t="shared" si="16"/>
        <v>2.0500000000000003</v>
      </c>
      <c r="BA13" s="51">
        <f>V13*X13*AZ13</f>
        <v>2.0500000000000003</v>
      </c>
    </row>
    <row r="14" spans="2:53">
      <c r="B14" s="10">
        <v>10</v>
      </c>
      <c r="C14" s="44">
        <v>45786</v>
      </c>
      <c r="D14" s="38" t="s">
        <v>41</v>
      </c>
      <c r="E14" s="40" t="s">
        <v>42</v>
      </c>
      <c r="F14" s="13">
        <v>2023</v>
      </c>
      <c r="G14" s="13" t="s">
        <v>25</v>
      </c>
      <c r="H14" s="46">
        <v>61037546.978818782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1</v>
      </c>
      <c r="V14" s="50">
        <v>0.75</v>
      </c>
      <c r="W14" s="51">
        <v>1</v>
      </c>
      <c r="X14" s="51">
        <f t="shared" si="0"/>
        <v>1</v>
      </c>
      <c r="Y14" s="24">
        <v>1</v>
      </c>
      <c r="Z14" s="58">
        <f>Ref!$F$3</f>
        <v>0.60000000000000009</v>
      </c>
      <c r="AA14" s="58">
        <f t="shared" si="1"/>
        <v>0.60000000000000009</v>
      </c>
      <c r="AB14" s="24">
        <f t="shared" si="2"/>
        <v>1</v>
      </c>
      <c r="AC14" s="58">
        <f>Ref!$F$4</f>
        <v>0.2</v>
      </c>
      <c r="AD14" s="58">
        <f t="shared" si="3"/>
        <v>0.2</v>
      </c>
      <c r="AE14" s="24">
        <f t="shared" si="4"/>
        <v>0</v>
      </c>
      <c r="AF14" s="58">
        <f>Ref!$F$5</f>
        <v>0.4</v>
      </c>
      <c r="AG14" s="58">
        <f t="shared" si="5"/>
        <v>0</v>
      </c>
      <c r="AH14" s="24">
        <f t="shared" si="6"/>
        <v>0</v>
      </c>
      <c r="AI14" s="58">
        <f>Ref!$F$6</f>
        <v>0.1</v>
      </c>
      <c r="AJ14" s="58">
        <f t="shared" si="7"/>
        <v>0</v>
      </c>
      <c r="AK14" s="24">
        <f t="shared" si="8"/>
        <v>0</v>
      </c>
      <c r="AL14" s="58">
        <f>Ref!$F$7</f>
        <v>0.4</v>
      </c>
      <c r="AM14" s="58">
        <f t="shared" si="9"/>
        <v>0</v>
      </c>
      <c r="AN14" s="24">
        <f t="shared" si="10"/>
        <v>0</v>
      </c>
      <c r="AO14" s="58">
        <f>Ref!$F$8</f>
        <v>0.15000000000000002</v>
      </c>
      <c r="AP14" s="58">
        <f t="shared" si="11"/>
        <v>0</v>
      </c>
      <c r="AQ14" s="24">
        <f t="shared" si="12"/>
        <v>0</v>
      </c>
      <c r="AR14" s="58">
        <f>Ref!$F$9</f>
        <v>0.1</v>
      </c>
      <c r="AS14" s="58">
        <f t="shared" si="13"/>
        <v>0</v>
      </c>
      <c r="AT14" s="24">
        <f>T14</f>
        <v>0</v>
      </c>
      <c r="AU14" s="58">
        <f>Ref!$F$10</f>
        <v>0.2</v>
      </c>
      <c r="AV14" s="58">
        <f t="shared" si="14"/>
        <v>0</v>
      </c>
      <c r="AW14" s="24">
        <f>U14</f>
        <v>1</v>
      </c>
      <c r="AX14" s="58">
        <f>Ref!$F$11</f>
        <v>0.15000000000000002</v>
      </c>
      <c r="AY14" s="58">
        <f t="shared" si="15"/>
        <v>0.15000000000000002</v>
      </c>
      <c r="AZ14" s="58">
        <f t="shared" si="16"/>
        <v>0.95000000000000007</v>
      </c>
      <c r="BA14" s="51">
        <f>V14*X14*AZ14</f>
        <v>0.71250000000000002</v>
      </c>
    </row>
    <row r="15" spans="2:53">
      <c r="B15" s="24">
        <v>11</v>
      </c>
      <c r="C15" s="43">
        <v>45793</v>
      </c>
      <c r="D15" s="38" t="s">
        <v>43</v>
      </c>
      <c r="E15" s="40" t="s">
        <v>44</v>
      </c>
      <c r="F15" s="13">
        <v>2021</v>
      </c>
      <c r="G15" s="13" t="s">
        <v>25</v>
      </c>
      <c r="H15" s="46">
        <v>61714130.167670064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1</v>
      </c>
      <c r="V15" s="50">
        <v>1</v>
      </c>
      <c r="W15" s="51">
        <v>1</v>
      </c>
      <c r="X15" s="51">
        <f t="shared" si="0"/>
        <v>1</v>
      </c>
      <c r="Y15" s="24">
        <v>1</v>
      </c>
      <c r="Z15" s="58">
        <f>Ref!$F$3</f>
        <v>0.60000000000000009</v>
      </c>
      <c r="AA15" s="58">
        <f t="shared" si="1"/>
        <v>0.60000000000000009</v>
      </c>
      <c r="AB15" s="24">
        <f t="shared" si="2"/>
        <v>1</v>
      </c>
      <c r="AC15" s="58">
        <f>Ref!$F$4</f>
        <v>0.2</v>
      </c>
      <c r="AD15" s="58">
        <f t="shared" si="3"/>
        <v>0.2</v>
      </c>
      <c r="AE15" s="24">
        <f t="shared" si="4"/>
        <v>0</v>
      </c>
      <c r="AF15" s="58">
        <f>Ref!$F$5</f>
        <v>0.4</v>
      </c>
      <c r="AG15" s="58">
        <f t="shared" si="5"/>
        <v>0</v>
      </c>
      <c r="AH15" s="24">
        <f t="shared" si="6"/>
        <v>0</v>
      </c>
      <c r="AI15" s="58">
        <f>Ref!$F$6</f>
        <v>0.1</v>
      </c>
      <c r="AJ15" s="58">
        <f t="shared" si="7"/>
        <v>0</v>
      </c>
      <c r="AK15" s="24">
        <f t="shared" si="8"/>
        <v>0</v>
      </c>
      <c r="AL15" s="58">
        <f>Ref!$F$7</f>
        <v>0.4</v>
      </c>
      <c r="AM15" s="58">
        <f t="shared" si="9"/>
        <v>0</v>
      </c>
      <c r="AN15" s="24">
        <f t="shared" si="10"/>
        <v>0</v>
      </c>
      <c r="AO15" s="58">
        <f>Ref!$F$8</f>
        <v>0.15000000000000002</v>
      </c>
      <c r="AP15" s="58">
        <f t="shared" si="11"/>
        <v>0</v>
      </c>
      <c r="AQ15" s="24">
        <f t="shared" si="12"/>
        <v>0</v>
      </c>
      <c r="AR15" s="58">
        <f>Ref!$F$9</f>
        <v>0.1</v>
      </c>
      <c r="AS15" s="58">
        <f t="shared" si="13"/>
        <v>0</v>
      </c>
      <c r="AT15" s="24">
        <f>T15</f>
        <v>0</v>
      </c>
      <c r="AU15" s="58">
        <f>Ref!$F$10</f>
        <v>0.2</v>
      </c>
      <c r="AV15" s="58">
        <f t="shared" si="14"/>
        <v>0</v>
      </c>
      <c r="AW15" s="24">
        <f>U15</f>
        <v>1</v>
      </c>
      <c r="AX15" s="58">
        <f>Ref!$F$11</f>
        <v>0.15000000000000002</v>
      </c>
      <c r="AY15" s="58">
        <f t="shared" si="15"/>
        <v>0.15000000000000002</v>
      </c>
      <c r="AZ15" s="58">
        <f t="shared" si="16"/>
        <v>0.95000000000000007</v>
      </c>
      <c r="BA15" s="51">
        <f>V15*X15*AZ15</f>
        <v>0.95000000000000007</v>
      </c>
    </row>
    <row r="16" spans="2:53">
      <c r="B16" s="10">
        <v>12</v>
      </c>
      <c r="C16" s="44">
        <v>45793</v>
      </c>
      <c r="D16" s="38" t="s">
        <v>45</v>
      </c>
      <c r="E16" s="41" t="s">
        <v>46</v>
      </c>
      <c r="F16" s="14">
        <v>2020</v>
      </c>
      <c r="G16" s="13" t="s">
        <v>30</v>
      </c>
      <c r="H16" s="47">
        <v>-62405695.620120399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1</v>
      </c>
      <c r="T16" s="24">
        <v>1</v>
      </c>
      <c r="U16" s="24">
        <v>1</v>
      </c>
      <c r="V16" s="50">
        <v>1</v>
      </c>
      <c r="W16" s="51">
        <v>1</v>
      </c>
      <c r="X16" s="51">
        <f t="shared" si="0"/>
        <v>1</v>
      </c>
      <c r="Y16" s="24">
        <v>0</v>
      </c>
      <c r="Z16" s="58">
        <f>Ref!$F$3</f>
        <v>0.60000000000000009</v>
      </c>
      <c r="AA16" s="58">
        <f t="shared" si="1"/>
        <v>0</v>
      </c>
      <c r="AB16" s="24">
        <f t="shared" si="2"/>
        <v>1</v>
      </c>
      <c r="AC16" s="58">
        <f>Ref!$F$4</f>
        <v>0.2</v>
      </c>
      <c r="AD16" s="58">
        <f t="shared" si="3"/>
        <v>0.2</v>
      </c>
      <c r="AE16" s="24">
        <f t="shared" si="4"/>
        <v>0</v>
      </c>
      <c r="AF16" s="58">
        <f>Ref!$F$5</f>
        <v>0.4</v>
      </c>
      <c r="AG16" s="58">
        <f t="shared" si="5"/>
        <v>0</v>
      </c>
      <c r="AH16" s="24">
        <f t="shared" si="6"/>
        <v>0</v>
      </c>
      <c r="AI16" s="58">
        <f>Ref!$F$6</f>
        <v>0.1</v>
      </c>
      <c r="AJ16" s="58">
        <f t="shared" si="7"/>
        <v>0</v>
      </c>
      <c r="AK16" s="24">
        <f t="shared" si="8"/>
        <v>0</v>
      </c>
      <c r="AL16" s="58">
        <f>Ref!$F$7</f>
        <v>0.4</v>
      </c>
      <c r="AM16" s="58">
        <f t="shared" si="9"/>
        <v>0</v>
      </c>
      <c r="AN16" s="24">
        <f t="shared" si="10"/>
        <v>0</v>
      </c>
      <c r="AO16" s="58">
        <f>Ref!$F$8</f>
        <v>0.15000000000000002</v>
      </c>
      <c r="AP16" s="58">
        <f t="shared" si="11"/>
        <v>0</v>
      </c>
      <c r="AQ16" s="24">
        <f t="shared" si="12"/>
        <v>0</v>
      </c>
      <c r="AR16" s="58">
        <f>Ref!$F$9</f>
        <v>0.1</v>
      </c>
      <c r="AS16" s="58">
        <f t="shared" si="13"/>
        <v>0</v>
      </c>
      <c r="AT16" s="24">
        <f>T16</f>
        <v>1</v>
      </c>
      <c r="AU16" s="58">
        <f>Ref!$F$10</f>
        <v>0.2</v>
      </c>
      <c r="AV16" s="58">
        <f t="shared" si="14"/>
        <v>0.2</v>
      </c>
      <c r="AW16" s="24">
        <f>U16</f>
        <v>1</v>
      </c>
      <c r="AX16" s="58">
        <f>Ref!$F$11</f>
        <v>0.15000000000000002</v>
      </c>
      <c r="AY16" s="58">
        <f t="shared" si="15"/>
        <v>0.15000000000000002</v>
      </c>
      <c r="AZ16" s="58">
        <f t="shared" si="16"/>
        <v>0.55000000000000004</v>
      </c>
      <c r="BA16" s="51">
        <f>V16*X16*AZ16</f>
        <v>0.55000000000000004</v>
      </c>
    </row>
    <row r="17" spans="2:53" s="3" customFormat="1">
      <c r="B17" s="24">
        <v>13</v>
      </c>
      <c r="C17" s="43">
        <v>45807</v>
      </c>
      <c r="D17" s="38" t="s">
        <v>47</v>
      </c>
      <c r="E17" s="40" t="s">
        <v>48</v>
      </c>
      <c r="F17" s="13">
        <v>2021</v>
      </c>
      <c r="G17" s="13" t="s">
        <v>25</v>
      </c>
      <c r="H17" s="46">
        <v>63112740.430615656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0</v>
      </c>
      <c r="S17" s="24">
        <v>0</v>
      </c>
      <c r="T17" s="24">
        <v>1</v>
      </c>
      <c r="U17" s="24">
        <v>0</v>
      </c>
      <c r="V17" s="50">
        <v>1</v>
      </c>
      <c r="W17" s="51">
        <v>1</v>
      </c>
      <c r="X17" s="51">
        <f t="shared" si="0"/>
        <v>1</v>
      </c>
      <c r="Y17" s="24">
        <v>1</v>
      </c>
      <c r="Z17" s="58">
        <f>Ref!$F$3</f>
        <v>0.60000000000000009</v>
      </c>
      <c r="AA17" s="58">
        <f t="shared" si="1"/>
        <v>0.60000000000000009</v>
      </c>
      <c r="AB17" s="24">
        <f t="shared" si="2"/>
        <v>1</v>
      </c>
      <c r="AC17" s="58">
        <f>Ref!$F$4</f>
        <v>0.2</v>
      </c>
      <c r="AD17" s="58">
        <f t="shared" si="3"/>
        <v>0.2</v>
      </c>
      <c r="AE17" s="24">
        <f t="shared" si="4"/>
        <v>1</v>
      </c>
      <c r="AF17" s="58">
        <f>Ref!$F$5</f>
        <v>0.4</v>
      </c>
      <c r="AG17" s="58">
        <f t="shared" si="5"/>
        <v>0.4</v>
      </c>
      <c r="AH17" s="24">
        <f t="shared" si="6"/>
        <v>1</v>
      </c>
      <c r="AI17" s="58">
        <f>Ref!$F$6</f>
        <v>0.1</v>
      </c>
      <c r="AJ17" s="58">
        <f t="shared" si="7"/>
        <v>0.1</v>
      </c>
      <c r="AK17" s="24">
        <f t="shared" si="8"/>
        <v>1</v>
      </c>
      <c r="AL17" s="58">
        <f>Ref!$F$7</f>
        <v>0.4</v>
      </c>
      <c r="AM17" s="58">
        <f t="shared" si="9"/>
        <v>0.4</v>
      </c>
      <c r="AN17" s="24">
        <f t="shared" si="10"/>
        <v>1</v>
      </c>
      <c r="AO17" s="58">
        <f>Ref!$F$8</f>
        <v>0.15000000000000002</v>
      </c>
      <c r="AP17" s="58">
        <f t="shared" si="11"/>
        <v>0.15000000000000002</v>
      </c>
      <c r="AQ17" s="24">
        <f t="shared" si="12"/>
        <v>0</v>
      </c>
      <c r="AR17" s="58">
        <f>Ref!$F$9</f>
        <v>0.1</v>
      </c>
      <c r="AS17" s="58">
        <f t="shared" si="13"/>
        <v>0</v>
      </c>
      <c r="AT17" s="24">
        <f>T17</f>
        <v>1</v>
      </c>
      <c r="AU17" s="58">
        <f>Ref!$F$10</f>
        <v>0.2</v>
      </c>
      <c r="AV17" s="58">
        <f t="shared" si="14"/>
        <v>0.2</v>
      </c>
      <c r="AW17" s="24">
        <f>U17</f>
        <v>0</v>
      </c>
      <c r="AX17" s="58">
        <f>Ref!$F$11</f>
        <v>0.15000000000000002</v>
      </c>
      <c r="AY17" s="58">
        <f t="shared" si="15"/>
        <v>0</v>
      </c>
      <c r="AZ17" s="58">
        <f t="shared" si="16"/>
        <v>2.0500000000000003</v>
      </c>
      <c r="BA17" s="51">
        <f>V17*X17*AZ17</f>
        <v>2.0500000000000003</v>
      </c>
    </row>
    <row r="18" spans="2:53">
      <c r="B18" s="10">
        <v>14</v>
      </c>
      <c r="C18" s="44">
        <v>45814</v>
      </c>
      <c r="D18" s="38" t="s">
        <v>49</v>
      </c>
      <c r="E18" s="39" t="s">
        <v>50</v>
      </c>
      <c r="F18" s="12">
        <v>2022</v>
      </c>
      <c r="G18" s="13" t="s">
        <v>25</v>
      </c>
      <c r="H18" s="46">
        <v>63835783.660286188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1</v>
      </c>
      <c r="V18" s="50">
        <v>1</v>
      </c>
      <c r="W18" s="51">
        <v>1</v>
      </c>
      <c r="X18" s="51">
        <f t="shared" si="0"/>
        <v>1</v>
      </c>
      <c r="Y18" s="24">
        <v>1</v>
      </c>
      <c r="Z18" s="58">
        <f>Ref!$F$3</f>
        <v>0.60000000000000009</v>
      </c>
      <c r="AA18" s="58">
        <f t="shared" si="1"/>
        <v>0.60000000000000009</v>
      </c>
      <c r="AB18" s="24">
        <f t="shared" si="2"/>
        <v>1</v>
      </c>
      <c r="AC18" s="58">
        <f>Ref!$F$4</f>
        <v>0.2</v>
      </c>
      <c r="AD18" s="58">
        <f t="shared" si="3"/>
        <v>0.2</v>
      </c>
      <c r="AE18" s="24">
        <f t="shared" si="4"/>
        <v>0</v>
      </c>
      <c r="AF18" s="58">
        <f>Ref!$F$5</f>
        <v>0.4</v>
      </c>
      <c r="AG18" s="58">
        <f t="shared" si="5"/>
        <v>0</v>
      </c>
      <c r="AH18" s="24">
        <f t="shared" si="6"/>
        <v>0</v>
      </c>
      <c r="AI18" s="58">
        <f>Ref!$F$6</f>
        <v>0.1</v>
      </c>
      <c r="AJ18" s="58">
        <f t="shared" si="7"/>
        <v>0</v>
      </c>
      <c r="AK18" s="24">
        <f t="shared" si="8"/>
        <v>0</v>
      </c>
      <c r="AL18" s="58">
        <f>Ref!$F$7</f>
        <v>0.4</v>
      </c>
      <c r="AM18" s="58">
        <f t="shared" si="9"/>
        <v>0</v>
      </c>
      <c r="AN18" s="24">
        <f t="shared" si="10"/>
        <v>0</v>
      </c>
      <c r="AO18" s="58">
        <f>Ref!$F$8</f>
        <v>0.15000000000000002</v>
      </c>
      <c r="AP18" s="58">
        <f t="shared" si="11"/>
        <v>0</v>
      </c>
      <c r="AQ18" s="24">
        <f t="shared" si="12"/>
        <v>0</v>
      </c>
      <c r="AR18" s="58">
        <f>Ref!$F$9</f>
        <v>0.1</v>
      </c>
      <c r="AS18" s="58">
        <f t="shared" si="13"/>
        <v>0</v>
      </c>
      <c r="AT18" s="24">
        <f>T18</f>
        <v>0</v>
      </c>
      <c r="AU18" s="58">
        <f>Ref!$F$10</f>
        <v>0.2</v>
      </c>
      <c r="AV18" s="58">
        <f t="shared" si="14"/>
        <v>0</v>
      </c>
      <c r="AW18" s="24">
        <f>U18</f>
        <v>1</v>
      </c>
      <c r="AX18" s="58">
        <f>Ref!$F$11</f>
        <v>0.15000000000000002</v>
      </c>
      <c r="AY18" s="58">
        <f t="shared" si="15"/>
        <v>0.15000000000000002</v>
      </c>
      <c r="AZ18" s="58">
        <f t="shared" si="16"/>
        <v>0.95000000000000007</v>
      </c>
      <c r="BA18" s="51">
        <f>V18*X18*AZ18</f>
        <v>0.95000000000000007</v>
      </c>
    </row>
    <row r="19" spans="2:53">
      <c r="B19" s="24">
        <v>15</v>
      </c>
      <c r="C19" s="43">
        <v>45814</v>
      </c>
      <c r="D19" s="38" t="s">
        <v>51</v>
      </c>
      <c r="E19" s="39" t="s">
        <v>52</v>
      </c>
      <c r="F19" s="12">
        <v>2022</v>
      </c>
      <c r="G19" s="13" t="s">
        <v>25</v>
      </c>
      <c r="H19" s="46">
        <v>64575367.549042925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50">
        <v>1</v>
      </c>
      <c r="W19" s="51">
        <v>1</v>
      </c>
      <c r="X19" s="51">
        <f t="shared" si="0"/>
        <v>1</v>
      </c>
      <c r="Y19" s="24">
        <v>1</v>
      </c>
      <c r="Z19" s="58">
        <f>Ref!$F$3</f>
        <v>0.60000000000000009</v>
      </c>
      <c r="AA19" s="58">
        <f t="shared" si="1"/>
        <v>0.60000000000000009</v>
      </c>
      <c r="AB19" s="24">
        <f t="shared" si="2"/>
        <v>1</v>
      </c>
      <c r="AC19" s="58">
        <f>Ref!$F$4</f>
        <v>0.2</v>
      </c>
      <c r="AD19" s="58">
        <f t="shared" si="3"/>
        <v>0.2</v>
      </c>
      <c r="AE19" s="24">
        <f t="shared" si="4"/>
        <v>0</v>
      </c>
      <c r="AF19" s="58">
        <f>Ref!$F$5</f>
        <v>0.4</v>
      </c>
      <c r="AG19" s="58">
        <f t="shared" si="5"/>
        <v>0</v>
      </c>
      <c r="AH19" s="24">
        <f t="shared" si="6"/>
        <v>0</v>
      </c>
      <c r="AI19" s="58">
        <f>Ref!$F$6</f>
        <v>0.1</v>
      </c>
      <c r="AJ19" s="58">
        <f t="shared" si="7"/>
        <v>0</v>
      </c>
      <c r="AK19" s="24">
        <f t="shared" si="8"/>
        <v>0</v>
      </c>
      <c r="AL19" s="58">
        <f>Ref!$F$7</f>
        <v>0.4</v>
      </c>
      <c r="AM19" s="58">
        <f t="shared" si="9"/>
        <v>0</v>
      </c>
      <c r="AN19" s="24">
        <f t="shared" si="10"/>
        <v>0</v>
      </c>
      <c r="AO19" s="58">
        <f>Ref!$F$8</f>
        <v>0.15000000000000002</v>
      </c>
      <c r="AP19" s="58">
        <f t="shared" si="11"/>
        <v>0</v>
      </c>
      <c r="AQ19" s="24">
        <f t="shared" si="12"/>
        <v>0</v>
      </c>
      <c r="AR19" s="58">
        <f>Ref!$F$9</f>
        <v>0.1</v>
      </c>
      <c r="AS19" s="58">
        <f t="shared" si="13"/>
        <v>0</v>
      </c>
      <c r="AT19" s="24">
        <f>T19</f>
        <v>0</v>
      </c>
      <c r="AU19" s="58">
        <f>Ref!$F$10</f>
        <v>0.2</v>
      </c>
      <c r="AV19" s="58">
        <f t="shared" si="14"/>
        <v>0</v>
      </c>
      <c r="AW19" s="24">
        <f>U19</f>
        <v>1</v>
      </c>
      <c r="AX19" s="58">
        <f>Ref!$F$11</f>
        <v>0.15000000000000002</v>
      </c>
      <c r="AY19" s="58">
        <f t="shared" si="15"/>
        <v>0.15000000000000002</v>
      </c>
      <c r="AZ19" s="58">
        <f t="shared" si="16"/>
        <v>0.95000000000000007</v>
      </c>
      <c r="BA19" s="51">
        <f>V19*X19*AZ19</f>
        <v>0.95000000000000007</v>
      </c>
    </row>
    <row r="20" spans="2:53">
      <c r="B20" s="10">
        <v>16</v>
      </c>
      <c r="C20" s="44">
        <v>45828</v>
      </c>
      <c r="D20" s="38" t="s">
        <v>53</v>
      </c>
      <c r="E20" s="39" t="s">
        <v>54</v>
      </c>
      <c r="F20" s="12">
        <v>2022</v>
      </c>
      <c r="G20" s="13" t="s">
        <v>25</v>
      </c>
      <c r="H20" s="46">
        <v>65332058.807846867</v>
      </c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0</v>
      </c>
      <c r="O20" s="24">
        <v>1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1</v>
      </c>
      <c r="V20" s="50">
        <v>1</v>
      </c>
      <c r="W20" s="51">
        <v>1</v>
      </c>
      <c r="X20" s="51">
        <f t="shared" si="0"/>
        <v>1</v>
      </c>
      <c r="Y20" s="24">
        <v>1</v>
      </c>
      <c r="Z20" s="58">
        <f>Ref!$F$3</f>
        <v>0.60000000000000009</v>
      </c>
      <c r="AA20" s="58">
        <f t="shared" si="1"/>
        <v>0.60000000000000009</v>
      </c>
      <c r="AB20" s="24">
        <f t="shared" si="2"/>
        <v>1</v>
      </c>
      <c r="AC20" s="58">
        <f>Ref!$F$4</f>
        <v>0.2</v>
      </c>
      <c r="AD20" s="58">
        <f t="shared" si="3"/>
        <v>0.2</v>
      </c>
      <c r="AE20" s="24">
        <f t="shared" si="4"/>
        <v>0</v>
      </c>
      <c r="AF20" s="58">
        <f>Ref!$F$5</f>
        <v>0.4</v>
      </c>
      <c r="AG20" s="58">
        <f t="shared" si="5"/>
        <v>0</v>
      </c>
      <c r="AH20" s="24">
        <f t="shared" si="6"/>
        <v>1</v>
      </c>
      <c r="AI20" s="58">
        <f>Ref!$F$6</f>
        <v>0.1</v>
      </c>
      <c r="AJ20" s="58">
        <f t="shared" si="7"/>
        <v>0.1</v>
      </c>
      <c r="AK20" s="24">
        <f t="shared" si="8"/>
        <v>0</v>
      </c>
      <c r="AL20" s="58">
        <f>Ref!$F$7</f>
        <v>0.4</v>
      </c>
      <c r="AM20" s="58">
        <f t="shared" si="9"/>
        <v>0</v>
      </c>
      <c r="AN20" s="24">
        <f t="shared" si="10"/>
        <v>0</v>
      </c>
      <c r="AO20" s="58">
        <f>Ref!$F$8</f>
        <v>0.15000000000000002</v>
      </c>
      <c r="AP20" s="58">
        <f t="shared" si="11"/>
        <v>0</v>
      </c>
      <c r="AQ20" s="24">
        <f t="shared" si="12"/>
        <v>0</v>
      </c>
      <c r="AR20" s="58">
        <f>Ref!$F$9</f>
        <v>0.1</v>
      </c>
      <c r="AS20" s="58">
        <f t="shared" si="13"/>
        <v>0</v>
      </c>
      <c r="AT20" s="24">
        <f>T20</f>
        <v>0</v>
      </c>
      <c r="AU20" s="58">
        <f>Ref!$F$10</f>
        <v>0.2</v>
      </c>
      <c r="AV20" s="58">
        <f t="shared" si="14"/>
        <v>0</v>
      </c>
      <c r="AW20" s="24">
        <f>U20</f>
        <v>1</v>
      </c>
      <c r="AX20" s="58">
        <f>Ref!$F$11</f>
        <v>0.15000000000000002</v>
      </c>
      <c r="AY20" s="58">
        <f t="shared" si="15"/>
        <v>0.15000000000000002</v>
      </c>
      <c r="AZ20" s="58">
        <f t="shared" si="16"/>
        <v>1.05</v>
      </c>
      <c r="BA20" s="51">
        <f>V20*X20*AZ20</f>
        <v>1.05</v>
      </c>
    </row>
    <row r="21" spans="2:53">
      <c r="B21" s="24">
        <v>17</v>
      </c>
      <c r="C21" s="43">
        <v>38523</v>
      </c>
      <c r="D21" s="38" t="s">
        <v>55</v>
      </c>
      <c r="E21" s="39" t="s">
        <v>56</v>
      </c>
      <c r="F21" s="12">
        <v>2021</v>
      </c>
      <c r="G21" s="13" t="s">
        <v>25</v>
      </c>
      <c r="H21" s="46">
        <v>66106449.997333966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0</v>
      </c>
      <c r="O21" s="24">
        <v>0</v>
      </c>
      <c r="P21" s="24">
        <v>0</v>
      </c>
      <c r="Q21" s="24">
        <v>0</v>
      </c>
      <c r="R21" s="24">
        <v>1</v>
      </c>
      <c r="S21" s="24">
        <v>0</v>
      </c>
      <c r="T21" s="24">
        <v>1</v>
      </c>
      <c r="U21" s="24">
        <v>1</v>
      </c>
      <c r="V21" s="50">
        <v>0.75</v>
      </c>
      <c r="W21" s="51">
        <v>1</v>
      </c>
      <c r="X21" s="51">
        <f t="shared" si="0"/>
        <v>1</v>
      </c>
      <c r="Y21" s="24">
        <v>1</v>
      </c>
      <c r="Z21" s="58">
        <f>Ref!$F$3</f>
        <v>0.60000000000000009</v>
      </c>
      <c r="AA21" s="58">
        <f t="shared" si="1"/>
        <v>0.60000000000000009</v>
      </c>
      <c r="AB21" s="24">
        <f t="shared" si="2"/>
        <v>1</v>
      </c>
      <c r="AC21" s="58">
        <f>Ref!$F$4</f>
        <v>0.2</v>
      </c>
      <c r="AD21" s="58">
        <f t="shared" si="3"/>
        <v>0.2</v>
      </c>
      <c r="AE21" s="24">
        <f t="shared" si="4"/>
        <v>0</v>
      </c>
      <c r="AF21" s="58">
        <f>Ref!$F$5</f>
        <v>0.4</v>
      </c>
      <c r="AG21" s="58">
        <f t="shared" si="5"/>
        <v>0</v>
      </c>
      <c r="AH21" s="24">
        <f t="shared" si="6"/>
        <v>0</v>
      </c>
      <c r="AI21" s="58">
        <f>Ref!$F$6</f>
        <v>0.1</v>
      </c>
      <c r="AJ21" s="58">
        <f t="shared" si="7"/>
        <v>0</v>
      </c>
      <c r="AK21" s="24">
        <f t="shared" si="8"/>
        <v>0</v>
      </c>
      <c r="AL21" s="58">
        <f>Ref!$F$7</f>
        <v>0.4</v>
      </c>
      <c r="AM21" s="58">
        <f t="shared" si="9"/>
        <v>0</v>
      </c>
      <c r="AN21" s="24">
        <f t="shared" si="10"/>
        <v>0</v>
      </c>
      <c r="AO21" s="58">
        <f>Ref!$F$8</f>
        <v>0.15000000000000002</v>
      </c>
      <c r="AP21" s="58">
        <f t="shared" si="11"/>
        <v>0</v>
      </c>
      <c r="AQ21" s="24">
        <f t="shared" si="12"/>
        <v>1</v>
      </c>
      <c r="AR21" s="58">
        <f>Ref!$F$9</f>
        <v>0.1</v>
      </c>
      <c r="AS21" s="58">
        <f t="shared" si="13"/>
        <v>0.1</v>
      </c>
      <c r="AT21" s="24">
        <f>T21</f>
        <v>1</v>
      </c>
      <c r="AU21" s="58">
        <f>Ref!$F$10</f>
        <v>0.2</v>
      </c>
      <c r="AV21" s="58">
        <f t="shared" si="14"/>
        <v>0.2</v>
      </c>
      <c r="AW21" s="24">
        <f>U21</f>
        <v>1</v>
      </c>
      <c r="AX21" s="58">
        <f>Ref!$F$11</f>
        <v>0.15000000000000002</v>
      </c>
      <c r="AY21" s="58">
        <f t="shared" si="15"/>
        <v>0.15000000000000002</v>
      </c>
      <c r="AZ21" s="58">
        <f t="shared" si="16"/>
        <v>1.25</v>
      </c>
      <c r="BA21" s="51">
        <f>V21*X21*AZ21</f>
        <v>0.9375</v>
      </c>
    </row>
    <row r="22" spans="2:53">
      <c r="B22" s="10">
        <v>18</v>
      </c>
      <c r="C22" s="44">
        <v>45842</v>
      </c>
      <c r="D22" s="38" t="s">
        <v>23</v>
      </c>
      <c r="E22" s="39" t="s">
        <v>24</v>
      </c>
      <c r="F22" s="12">
        <v>2021</v>
      </c>
      <c r="G22" s="13" t="s">
        <v>25</v>
      </c>
      <c r="H22" s="46">
        <v>66899160.999520116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50">
        <v>0</v>
      </c>
      <c r="W22" s="51">
        <v>1</v>
      </c>
      <c r="X22" s="51">
        <f t="shared" si="0"/>
        <v>1</v>
      </c>
      <c r="Y22" s="24">
        <v>1</v>
      </c>
      <c r="Z22" s="58">
        <f>Ref!$F$3</f>
        <v>0.60000000000000009</v>
      </c>
      <c r="AA22" s="58">
        <f t="shared" si="1"/>
        <v>0.60000000000000009</v>
      </c>
      <c r="AB22" s="24">
        <f t="shared" si="2"/>
        <v>1</v>
      </c>
      <c r="AC22" s="58">
        <f>Ref!$F$4</f>
        <v>0.2</v>
      </c>
      <c r="AD22" s="58">
        <f t="shared" si="3"/>
        <v>0.2</v>
      </c>
      <c r="AE22" s="24">
        <f t="shared" si="4"/>
        <v>0</v>
      </c>
      <c r="AF22" s="58">
        <f>Ref!$F$5</f>
        <v>0.4</v>
      </c>
      <c r="AG22" s="58">
        <f t="shared" si="5"/>
        <v>0</v>
      </c>
      <c r="AH22" s="24">
        <f t="shared" si="6"/>
        <v>0</v>
      </c>
      <c r="AI22" s="58">
        <f>Ref!$F$6</f>
        <v>0.1</v>
      </c>
      <c r="AJ22" s="58">
        <f t="shared" si="7"/>
        <v>0</v>
      </c>
      <c r="AK22" s="24">
        <f t="shared" si="8"/>
        <v>0</v>
      </c>
      <c r="AL22" s="58">
        <f>Ref!$F$7</f>
        <v>0.4</v>
      </c>
      <c r="AM22" s="58">
        <f t="shared" si="9"/>
        <v>0</v>
      </c>
      <c r="AN22" s="24">
        <f t="shared" si="10"/>
        <v>0</v>
      </c>
      <c r="AO22" s="58">
        <f>Ref!$F$8</f>
        <v>0.15000000000000002</v>
      </c>
      <c r="AP22" s="58">
        <f t="shared" si="11"/>
        <v>0</v>
      </c>
      <c r="AQ22" s="24">
        <f t="shared" si="12"/>
        <v>0</v>
      </c>
      <c r="AR22" s="58">
        <f>Ref!$F$9</f>
        <v>0.1</v>
      </c>
      <c r="AS22" s="58">
        <f t="shared" si="13"/>
        <v>0</v>
      </c>
      <c r="AT22" s="24">
        <f>T22</f>
        <v>0</v>
      </c>
      <c r="AU22" s="58">
        <f>Ref!$F$10</f>
        <v>0.2</v>
      </c>
      <c r="AV22" s="58">
        <f t="shared" si="14"/>
        <v>0</v>
      </c>
      <c r="AW22" s="24">
        <f>U22</f>
        <v>0</v>
      </c>
      <c r="AX22" s="58">
        <f>Ref!$F$11</f>
        <v>0.15000000000000002</v>
      </c>
      <c r="AY22" s="58">
        <f t="shared" si="15"/>
        <v>0</v>
      </c>
      <c r="AZ22" s="58">
        <f t="shared" si="16"/>
        <v>0.8</v>
      </c>
      <c r="BA22" s="51">
        <f>V22*X22*AZ22</f>
        <v>0</v>
      </c>
    </row>
    <row r="23" spans="2:53">
      <c r="B23" s="24">
        <v>19</v>
      </c>
      <c r="C23" s="43">
        <v>45856</v>
      </c>
      <c r="D23" s="38" t="s">
        <v>57</v>
      </c>
      <c r="E23" s="39" t="s">
        <v>32</v>
      </c>
      <c r="F23" s="12">
        <v>2022</v>
      </c>
      <c r="G23" s="13" t="s">
        <v>25</v>
      </c>
      <c r="H23" s="46">
        <v>67710840.589908823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50">
        <v>1</v>
      </c>
      <c r="W23" s="51">
        <v>1</v>
      </c>
      <c r="X23" s="51">
        <f t="shared" si="0"/>
        <v>1</v>
      </c>
      <c r="Y23" s="24">
        <v>1</v>
      </c>
      <c r="Z23" s="58">
        <f>Ref!$F$3</f>
        <v>0.60000000000000009</v>
      </c>
      <c r="AA23" s="58">
        <f t="shared" si="1"/>
        <v>0.60000000000000009</v>
      </c>
      <c r="AB23" s="24">
        <f t="shared" si="2"/>
        <v>1</v>
      </c>
      <c r="AC23" s="58">
        <f>Ref!$F$4</f>
        <v>0.2</v>
      </c>
      <c r="AD23" s="58">
        <f t="shared" si="3"/>
        <v>0.2</v>
      </c>
      <c r="AE23" s="24">
        <f t="shared" si="4"/>
        <v>0</v>
      </c>
      <c r="AF23" s="58">
        <f>Ref!$F$5</f>
        <v>0.4</v>
      </c>
      <c r="AG23" s="58">
        <f t="shared" si="5"/>
        <v>0</v>
      </c>
      <c r="AH23" s="24">
        <f t="shared" si="6"/>
        <v>0</v>
      </c>
      <c r="AI23" s="58">
        <f>Ref!$F$6</f>
        <v>0.1</v>
      </c>
      <c r="AJ23" s="58">
        <f t="shared" si="7"/>
        <v>0</v>
      </c>
      <c r="AK23" s="24">
        <f t="shared" si="8"/>
        <v>0</v>
      </c>
      <c r="AL23" s="58">
        <f>Ref!$F$7</f>
        <v>0.4</v>
      </c>
      <c r="AM23" s="58">
        <f t="shared" si="9"/>
        <v>0</v>
      </c>
      <c r="AN23" s="24">
        <f t="shared" si="10"/>
        <v>0</v>
      </c>
      <c r="AO23" s="58">
        <f>Ref!$F$8</f>
        <v>0.15000000000000002</v>
      </c>
      <c r="AP23" s="58">
        <f t="shared" si="11"/>
        <v>0</v>
      </c>
      <c r="AQ23" s="24">
        <f t="shared" si="12"/>
        <v>0</v>
      </c>
      <c r="AR23" s="58">
        <f>Ref!$F$9</f>
        <v>0.1</v>
      </c>
      <c r="AS23" s="58">
        <f t="shared" si="13"/>
        <v>0</v>
      </c>
      <c r="AT23" s="24">
        <f>T23</f>
        <v>0</v>
      </c>
      <c r="AU23" s="58">
        <f>Ref!$F$10</f>
        <v>0.2</v>
      </c>
      <c r="AV23" s="58">
        <f t="shared" si="14"/>
        <v>0</v>
      </c>
      <c r="AW23" s="24">
        <f>U23</f>
        <v>0</v>
      </c>
      <c r="AX23" s="58">
        <f>Ref!$F$11</f>
        <v>0.15000000000000002</v>
      </c>
      <c r="AY23" s="58">
        <f t="shared" si="15"/>
        <v>0</v>
      </c>
      <c r="AZ23" s="58">
        <f t="shared" si="16"/>
        <v>0.8</v>
      </c>
      <c r="BA23" s="51">
        <f>V23*X23*AZ23</f>
        <v>0.8</v>
      </c>
    </row>
    <row r="24" spans="2:53">
      <c r="B24" s="10">
        <v>20</v>
      </c>
      <c r="C24" s="44">
        <v>45905</v>
      </c>
      <c r="D24" s="38" t="s">
        <v>66</v>
      </c>
      <c r="E24" s="39" t="s">
        <v>58</v>
      </c>
      <c r="F24" s="12">
        <v>2021</v>
      </c>
      <c r="G24" s="13" t="s">
        <v>25</v>
      </c>
      <c r="H24" s="46">
        <v>68542168.117981762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0</v>
      </c>
      <c r="O24" s="24">
        <v>0</v>
      </c>
      <c r="P24" s="24">
        <v>0</v>
      </c>
      <c r="Q24" s="24">
        <v>0</v>
      </c>
      <c r="R24" s="24">
        <v>1</v>
      </c>
      <c r="S24" s="24">
        <v>0</v>
      </c>
      <c r="T24" s="24">
        <v>0</v>
      </c>
      <c r="U24" s="24">
        <v>1</v>
      </c>
      <c r="V24" s="50">
        <v>1</v>
      </c>
      <c r="W24" s="51">
        <v>1</v>
      </c>
      <c r="X24" s="51">
        <f t="shared" si="0"/>
        <v>1</v>
      </c>
      <c r="Y24" s="24">
        <v>1</v>
      </c>
      <c r="Z24" s="58">
        <f>Ref!$F$3</f>
        <v>0.60000000000000009</v>
      </c>
      <c r="AA24" s="58">
        <f t="shared" si="1"/>
        <v>0.60000000000000009</v>
      </c>
      <c r="AB24" s="24">
        <f t="shared" si="2"/>
        <v>1</v>
      </c>
      <c r="AC24" s="58">
        <f>Ref!$F$4</f>
        <v>0.2</v>
      </c>
      <c r="AD24" s="58">
        <f t="shared" si="3"/>
        <v>0.2</v>
      </c>
      <c r="AE24" s="24">
        <f t="shared" si="4"/>
        <v>0</v>
      </c>
      <c r="AF24" s="58">
        <f>Ref!$F$5</f>
        <v>0.4</v>
      </c>
      <c r="AG24" s="58">
        <f t="shared" si="5"/>
        <v>0</v>
      </c>
      <c r="AH24" s="24">
        <f t="shared" si="6"/>
        <v>0</v>
      </c>
      <c r="AI24" s="58">
        <f>Ref!$F$6</f>
        <v>0.1</v>
      </c>
      <c r="AJ24" s="58">
        <f t="shared" si="7"/>
        <v>0</v>
      </c>
      <c r="AK24" s="24">
        <f t="shared" si="8"/>
        <v>0</v>
      </c>
      <c r="AL24" s="58">
        <f>Ref!$F$7</f>
        <v>0.4</v>
      </c>
      <c r="AM24" s="58">
        <f t="shared" si="9"/>
        <v>0</v>
      </c>
      <c r="AN24" s="24">
        <f t="shared" si="10"/>
        <v>0</v>
      </c>
      <c r="AO24" s="58">
        <f>Ref!$F$8</f>
        <v>0.15000000000000002</v>
      </c>
      <c r="AP24" s="58">
        <f t="shared" si="11"/>
        <v>0</v>
      </c>
      <c r="AQ24" s="24">
        <f t="shared" si="12"/>
        <v>1</v>
      </c>
      <c r="AR24" s="58">
        <f>Ref!$F$9</f>
        <v>0.1</v>
      </c>
      <c r="AS24" s="58">
        <f t="shared" si="13"/>
        <v>0.1</v>
      </c>
      <c r="AT24" s="24">
        <f>T24</f>
        <v>0</v>
      </c>
      <c r="AU24" s="58">
        <f>Ref!$F$10</f>
        <v>0.2</v>
      </c>
      <c r="AV24" s="58">
        <f t="shared" si="14"/>
        <v>0</v>
      </c>
      <c r="AW24" s="24">
        <f>U24</f>
        <v>1</v>
      </c>
      <c r="AX24" s="58">
        <f>Ref!$F$11</f>
        <v>0.15000000000000002</v>
      </c>
      <c r="AY24" s="58">
        <f t="shared" si="15"/>
        <v>0.15000000000000002</v>
      </c>
      <c r="AZ24" s="58">
        <f t="shared" si="16"/>
        <v>1.05</v>
      </c>
      <c r="BA24" s="51">
        <f>V24*X24*AZ24</f>
        <v>1.05</v>
      </c>
    </row>
    <row r="25" spans="2:53" s="2" customFormat="1">
      <c r="B25"/>
      <c r="C25"/>
      <c r="D25"/>
      <c r="E25"/>
      <c r="F25"/>
      <c r="G25"/>
      <c r="H25"/>
      <c r="V25"/>
      <c r="W25"/>
      <c r="X25"/>
      <c r="BA25"/>
    </row>
    <row r="26" spans="2:53">
      <c r="B26" t="s">
        <v>59</v>
      </c>
    </row>
    <row r="27" spans="2:53">
      <c r="B27" s="42" t="s">
        <v>60</v>
      </c>
      <c r="C27" s="42"/>
    </row>
    <row r="28" spans="2:53">
      <c r="B28" s="42" t="s">
        <v>61</v>
      </c>
    </row>
  </sheetData>
  <mergeCells count="37">
    <mergeCell ref="BA2:BA4"/>
    <mergeCell ref="L3:L4"/>
    <mergeCell ref="K3:K4"/>
    <mergeCell ref="J3:J4"/>
    <mergeCell ref="I3:I4"/>
    <mergeCell ref="Q3:Q4"/>
    <mergeCell ref="P3:P4"/>
    <mergeCell ref="O3:O4"/>
    <mergeCell ref="N3:N4"/>
    <mergeCell ref="M3:M4"/>
    <mergeCell ref="AN3:AP3"/>
    <mergeCell ref="AQ3:AS3"/>
    <mergeCell ref="AT3:AV3"/>
    <mergeCell ref="AW3:AY3"/>
    <mergeCell ref="AZ3:AZ4"/>
    <mergeCell ref="Y2:AZ2"/>
    <mergeCell ref="H2:H4"/>
    <mergeCell ref="I2:L2"/>
    <mergeCell ref="M2:U2"/>
    <mergeCell ref="V2:V4"/>
    <mergeCell ref="W2:W4"/>
    <mergeCell ref="X2:X4"/>
    <mergeCell ref="U3:U4"/>
    <mergeCell ref="T3:T4"/>
    <mergeCell ref="S3:S4"/>
    <mergeCell ref="R3:R4"/>
    <mergeCell ref="Y3:AA3"/>
    <mergeCell ref="AB3:AD3"/>
    <mergeCell ref="AE3:AG3"/>
    <mergeCell ref="AH3:AJ3"/>
    <mergeCell ref="AK3:AM3"/>
    <mergeCell ref="G2:G4"/>
    <mergeCell ref="B2:B4"/>
    <mergeCell ref="C2:C4"/>
    <mergeCell ref="D2:D4"/>
    <mergeCell ref="E2:E4"/>
    <mergeCell ref="F2:F4"/>
  </mergeCells>
  <conditionalFormatting sqref="D5:D24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7987-4C1B-E347-8CF5-5BC837700705}">
  <sheetPr>
    <tabColor rgb="FFFFFF00"/>
  </sheetPr>
  <dimension ref="B2:K18"/>
  <sheetViews>
    <sheetView zoomScale="180" zoomScaleNormal="180" workbookViewId="0">
      <selection activeCell="E8" sqref="E8"/>
    </sheetView>
  </sheetViews>
  <sheetFormatPr defaultColWidth="11" defaultRowHeight="15.75"/>
  <cols>
    <col min="1" max="1" width="3.625" customWidth="1"/>
    <col min="2" max="2" width="6.5" customWidth="1"/>
    <col min="3" max="3" width="11.375" customWidth="1"/>
    <col min="5" max="5" width="11.625" customWidth="1"/>
    <col min="6" max="6" width="16.875" customWidth="1"/>
    <col min="8" max="8" width="12.5" customWidth="1"/>
    <col min="9" max="9" width="16.875" customWidth="1"/>
    <col min="11" max="11" width="9.375" customWidth="1"/>
  </cols>
  <sheetData>
    <row r="2" spans="2:11" ht="30.95" customHeight="1">
      <c r="B2" s="80" t="s">
        <v>2</v>
      </c>
      <c r="C2" s="80" t="s">
        <v>73</v>
      </c>
      <c r="D2" s="64"/>
      <c r="E2" s="81" t="s">
        <v>74</v>
      </c>
      <c r="F2" s="81"/>
      <c r="G2" s="81"/>
      <c r="H2" s="81" t="s">
        <v>75</v>
      </c>
      <c r="I2" s="81"/>
      <c r="J2" s="81"/>
      <c r="K2" s="80" t="s">
        <v>76</v>
      </c>
    </row>
    <row r="3" spans="2:11" s="9" customFormat="1" ht="31.5">
      <c r="B3" s="80"/>
      <c r="C3" s="80"/>
      <c r="D3" s="54" t="s">
        <v>77</v>
      </c>
      <c r="E3" s="54" t="s">
        <v>78</v>
      </c>
      <c r="F3" s="54" t="s">
        <v>79</v>
      </c>
      <c r="G3" s="54" t="s">
        <v>80</v>
      </c>
      <c r="H3" s="54" t="s">
        <v>78</v>
      </c>
      <c r="I3" s="54" t="s">
        <v>79</v>
      </c>
      <c r="J3" s="54" t="s">
        <v>80</v>
      </c>
      <c r="K3" s="80"/>
    </row>
    <row r="4" spans="2:11" s="63" customFormat="1" ht="15">
      <c r="B4" s="62">
        <v>1</v>
      </c>
      <c r="C4" s="62">
        <v>2</v>
      </c>
      <c r="D4" s="62">
        <v>3</v>
      </c>
      <c r="E4" s="62">
        <v>4</v>
      </c>
      <c r="F4" s="62" t="s">
        <v>81</v>
      </c>
      <c r="G4" s="62">
        <v>6</v>
      </c>
      <c r="H4" s="62">
        <v>7</v>
      </c>
      <c r="I4" s="62" t="s">
        <v>82</v>
      </c>
      <c r="J4" s="62">
        <v>11</v>
      </c>
      <c r="K4" s="62" t="s">
        <v>83</v>
      </c>
    </row>
    <row r="5" spans="2:11" s="1" customFormat="1" ht="27.95" customHeight="1">
      <c r="B5" s="24">
        <v>1</v>
      </c>
      <c r="C5" s="11" t="s">
        <v>84</v>
      </c>
      <c r="D5" s="24">
        <v>3</v>
      </c>
      <c r="E5" s="53">
        <f>SUM('A. Komponen Kuantitas'!$X$4:$X$23)</f>
        <v>16.5</v>
      </c>
      <c r="F5" s="55">
        <f>IF((E5/D5)&gt;120%,120%,(E5/D5))</f>
        <v>1.2</v>
      </c>
      <c r="G5" s="56">
        <f>F5*50%</f>
        <v>0.6</v>
      </c>
      <c r="H5" s="53">
        <f>SUM('B. Komponen Kualitas'!$BA$5:$BA$24)</f>
        <v>18.100000000000001</v>
      </c>
      <c r="I5" s="55">
        <f>IF((H5/D5)&gt;120%,120%,(H5/D5))</f>
        <v>1.2</v>
      </c>
      <c r="J5" s="56">
        <f>I5*50%</f>
        <v>0.6</v>
      </c>
      <c r="K5" s="57">
        <f>J5+G5</f>
        <v>1.2</v>
      </c>
    </row>
    <row r="13" spans="2:11" hidden="1"/>
    <row r="14" spans="2:11" hidden="1">
      <c r="K14" s="52">
        <v>1</v>
      </c>
    </row>
    <row r="15" spans="2:11" hidden="1"/>
    <row r="16" spans="2:11" hidden="1">
      <c r="K16" s="52">
        <v>0.5</v>
      </c>
    </row>
    <row r="17" spans="11:11" hidden="1"/>
    <row r="18" spans="11:11" hidden="1">
      <c r="K18" s="52">
        <v>0.01</v>
      </c>
    </row>
  </sheetData>
  <mergeCells count="5">
    <mergeCell ref="K2:K3"/>
    <mergeCell ref="C2:C3"/>
    <mergeCell ref="B2:B3"/>
    <mergeCell ref="E2:G2"/>
    <mergeCell ref="H2:J2"/>
  </mergeCells>
  <conditionalFormatting sqref="K5:K18">
    <cfRule type="colorScale" priority="1">
      <colorScale>
        <cfvo type="min"/>
        <cfvo type="percentile" val="50"/>
        <cfvo type="max"/>
        <color rgb="FFFF0000"/>
        <color rgb="FFFFEB84"/>
        <color rgb="FF71B200"/>
      </colorScale>
    </cfRule>
    <cfRule type="colorScale" priority="2">
      <colorScale>
        <cfvo type="min"/>
        <cfvo type="percentile" val="50"/>
        <cfvo type="max"/>
        <color rgb="FFFF7128"/>
        <color rgb="FFFFEB84"/>
        <color rgb="FF71B2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2995-FFE2-FB43-8154-1D619D82218B}">
  <dimension ref="A1:G12"/>
  <sheetViews>
    <sheetView zoomScale="149" zoomScaleNormal="149" workbookViewId="0">
      <selection activeCell="C5" sqref="C5"/>
    </sheetView>
  </sheetViews>
  <sheetFormatPr defaultColWidth="11" defaultRowHeight="15.75"/>
  <cols>
    <col min="1" max="1" width="4.375" style="4" customWidth="1"/>
    <col min="2" max="2" width="4.375" customWidth="1"/>
    <col min="3" max="3" width="59.375" customWidth="1"/>
    <col min="4" max="4" width="7.625" customWidth="1"/>
    <col min="5" max="5" width="8.375" customWidth="1"/>
    <col min="6" max="6" width="7.625" customWidth="1"/>
    <col min="7" max="7" width="43.125" customWidth="1"/>
  </cols>
  <sheetData>
    <row r="1" spans="1:7" s="3" customFormat="1" ht="9.9499999999999993" customHeight="1">
      <c r="A1" s="6"/>
      <c r="B1" s="7"/>
      <c r="C1" s="7"/>
      <c r="D1" s="7"/>
      <c r="E1" s="7"/>
      <c r="F1" s="7"/>
      <c r="G1" s="7"/>
    </row>
    <row r="2" spans="1:7" s="20" customFormat="1" ht="37.5">
      <c r="A2" s="19"/>
      <c r="B2" s="25" t="s">
        <v>2</v>
      </c>
      <c r="C2" s="25" t="s">
        <v>85</v>
      </c>
      <c r="D2" s="25" t="s">
        <v>72</v>
      </c>
      <c r="E2" s="25" t="s">
        <v>86</v>
      </c>
      <c r="F2" s="25" t="s">
        <v>70</v>
      </c>
      <c r="G2" s="21"/>
    </row>
    <row r="3" spans="1:7" s="16" customFormat="1" ht="18.75">
      <c r="A3" s="15"/>
      <c r="B3" s="26">
        <v>1</v>
      </c>
      <c r="C3" s="27" t="s">
        <v>69</v>
      </c>
      <c r="D3" s="28">
        <v>3</v>
      </c>
      <c r="E3" s="29">
        <v>0.2</v>
      </c>
      <c r="F3" s="59">
        <f>D3*E3</f>
        <v>0.60000000000000009</v>
      </c>
      <c r="G3" s="22"/>
    </row>
    <row r="4" spans="1:7" s="16" customFormat="1" ht="18.75">
      <c r="A4" s="15"/>
      <c r="B4" s="26">
        <v>2</v>
      </c>
      <c r="C4" s="27" t="s">
        <v>87</v>
      </c>
      <c r="D4" s="28">
        <v>2</v>
      </c>
      <c r="E4" s="29">
        <v>0.1</v>
      </c>
      <c r="F4" s="59">
        <f t="shared" ref="F4:F11" si="0">D4*E4</f>
        <v>0.2</v>
      </c>
      <c r="G4" s="22"/>
    </row>
    <row r="5" spans="1:7" s="18" customFormat="1" ht="18.75">
      <c r="A5" s="17"/>
      <c r="B5" s="26">
        <v>3</v>
      </c>
      <c r="C5" s="30" t="s">
        <v>88</v>
      </c>
      <c r="D5" s="28">
        <v>4</v>
      </c>
      <c r="E5" s="31">
        <v>0.1</v>
      </c>
      <c r="F5" s="59">
        <f t="shared" si="0"/>
        <v>0.4</v>
      </c>
      <c r="G5" s="22"/>
    </row>
    <row r="6" spans="1:7" s="18" customFormat="1" ht="37.5">
      <c r="A6" s="17"/>
      <c r="B6" s="26">
        <v>4</v>
      </c>
      <c r="C6" s="32" t="s">
        <v>89</v>
      </c>
      <c r="D6" s="28">
        <v>1</v>
      </c>
      <c r="E6" s="33">
        <v>0.1</v>
      </c>
      <c r="F6" s="59">
        <f t="shared" si="0"/>
        <v>0.1</v>
      </c>
      <c r="G6" s="22"/>
    </row>
    <row r="7" spans="1:7" s="18" customFormat="1" ht="18.75">
      <c r="A7" s="17"/>
      <c r="B7" s="26">
        <v>5</v>
      </c>
      <c r="C7" s="30" t="s">
        <v>90</v>
      </c>
      <c r="D7" s="28">
        <v>4</v>
      </c>
      <c r="E7" s="31">
        <v>0.1</v>
      </c>
      <c r="F7" s="59">
        <f t="shared" si="0"/>
        <v>0.4</v>
      </c>
      <c r="G7" s="22"/>
    </row>
    <row r="8" spans="1:7" s="18" customFormat="1" ht="18.75">
      <c r="A8" s="17"/>
      <c r="B8" s="26">
        <v>6</v>
      </c>
      <c r="C8" s="30" t="s">
        <v>91</v>
      </c>
      <c r="D8" s="28">
        <v>1.5</v>
      </c>
      <c r="E8" s="31">
        <v>0.1</v>
      </c>
      <c r="F8" s="59">
        <f t="shared" si="0"/>
        <v>0.15000000000000002</v>
      </c>
      <c r="G8" s="22"/>
    </row>
    <row r="9" spans="1:7" s="18" customFormat="1" ht="18.75">
      <c r="A9" s="17"/>
      <c r="B9" s="26">
        <v>7</v>
      </c>
      <c r="C9" s="30" t="s">
        <v>92</v>
      </c>
      <c r="D9" s="28">
        <v>1</v>
      </c>
      <c r="E9" s="31">
        <v>0.1</v>
      </c>
      <c r="F9" s="59">
        <f t="shared" si="0"/>
        <v>0.1</v>
      </c>
      <c r="G9" s="22"/>
    </row>
    <row r="10" spans="1:7" s="20" customFormat="1" ht="37.5">
      <c r="A10" s="19"/>
      <c r="B10" s="26">
        <v>8</v>
      </c>
      <c r="C10" s="27" t="s">
        <v>93</v>
      </c>
      <c r="D10" s="28">
        <v>2</v>
      </c>
      <c r="E10" s="33">
        <v>0.1</v>
      </c>
      <c r="F10" s="59">
        <f t="shared" si="0"/>
        <v>0.2</v>
      </c>
      <c r="G10" s="22"/>
    </row>
    <row r="11" spans="1:7" s="20" customFormat="1" ht="18.75">
      <c r="A11" s="19"/>
      <c r="B11" s="26">
        <v>9</v>
      </c>
      <c r="C11" s="27" t="s">
        <v>94</v>
      </c>
      <c r="D11" s="28">
        <v>1.5</v>
      </c>
      <c r="E11" s="33">
        <v>0.1</v>
      </c>
      <c r="F11" s="59">
        <f t="shared" si="0"/>
        <v>0.15000000000000002</v>
      </c>
      <c r="G11" s="22"/>
    </row>
    <row r="12" spans="1:7" s="18" customFormat="1" ht="18.75">
      <c r="A12" s="17"/>
      <c r="B12" s="82" t="s">
        <v>95</v>
      </c>
      <c r="C12" s="82"/>
      <c r="D12" s="60">
        <f>SUM(D3:D11)</f>
        <v>20</v>
      </c>
      <c r="E12" s="34">
        <f>SUM(E3:E11)</f>
        <v>0.99999999999999989</v>
      </c>
      <c r="F12" s="60">
        <f>ROUNDDOWN((SUM(F3:F11)),0)</f>
        <v>2</v>
      </c>
      <c r="G12" s="23"/>
    </row>
  </sheetData>
  <mergeCells count="1">
    <mergeCell ref="B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18081e-053c-43f9-96b2-23a82a8ed040" xsi:nil="true"/>
    <lcf76f155ced4ddcb4097134ff3c332f xmlns="3cdbb211-5556-4702-af5b-9f4530d77c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3173C3A8CFD4EA7D82D1D593F81CD" ma:contentTypeVersion="14" ma:contentTypeDescription="Create a new document." ma:contentTypeScope="" ma:versionID="1d8807c6ab4430352d224bd59e2ce319">
  <xsd:schema xmlns:xsd="http://www.w3.org/2001/XMLSchema" xmlns:xs="http://www.w3.org/2001/XMLSchema" xmlns:p="http://schemas.microsoft.com/office/2006/metadata/properties" xmlns:ns2="3cdbb211-5556-4702-af5b-9f4530d77cc2" xmlns:ns3="4618081e-053c-43f9-96b2-23a82a8ed040" targetNamespace="http://schemas.microsoft.com/office/2006/metadata/properties" ma:root="true" ma:fieldsID="35940a1ee9fde2869bc57599f846891d" ns2:_="" ns3:_="">
    <xsd:import namespace="3cdbb211-5556-4702-af5b-9f4530d77cc2"/>
    <xsd:import namespace="4618081e-053c-43f9-96b2-23a82a8ed0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bb211-5556-4702-af5b-9f4530d77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8081e-053c-43f9-96b2-23a82a8ed0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e211f08-551b-4e96-9c47-017a32c21b9e}" ma:internalName="TaxCatchAll" ma:showField="CatchAllData" ma:web="4618081e-053c-43f9-96b2-23a82a8ed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759B3-7391-460A-84C9-12A48DEFCA62}"/>
</file>

<file path=customXml/itemProps2.xml><?xml version="1.0" encoding="utf-8"?>
<ds:datastoreItem xmlns:ds="http://schemas.openxmlformats.org/officeDocument/2006/customXml" ds:itemID="{698B3D5A-205C-4968-ABBC-FC1A51B0CC42}"/>
</file>

<file path=customXml/itemProps3.xml><?xml version="1.0" encoding="utf-8"?>
<ds:datastoreItem xmlns:ds="http://schemas.openxmlformats.org/officeDocument/2006/customXml" ds:itemID="{C4F8CCC6-9AFF-4FA6-AB92-B403CC44D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Dar13</dc:creator>
  <cp:keywords/>
  <dc:description/>
  <cp:lastModifiedBy/>
  <cp:revision/>
  <dcterms:created xsi:type="dcterms:W3CDTF">2024-10-23T14:43:53Z</dcterms:created>
  <dcterms:modified xsi:type="dcterms:W3CDTF">2025-04-09T02:26:40Z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0x0101005813173C3A8CFD4EA7D82D1D593F81CD</vt:lpwstr>
  </property>
  <property fmtid="{D5CDD505-2E9C-101B-9397-08002B2CF9AE}" pid="3" name="MediaServiceImageTags">
    <vt:lpwstr/>
  </property>
</Properties>
</file>